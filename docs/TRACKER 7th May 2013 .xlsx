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izaam\Desktop\Projects\videolounge\docs\"/>
    </mc:Choice>
  </mc:AlternateContent>
  <bookViews>
    <workbookView xWindow="0" yWindow="0" windowWidth="19200" windowHeight="11745" activeTab="3"/>
  </bookViews>
  <sheets>
    <sheet name="JOBS IN THE PIPELINE" sheetId="2" r:id="rId1"/>
    <sheet name="QUOTES" sheetId="1" r:id="rId2"/>
    <sheet name="APPOINTMENTS" sheetId="6" r:id="rId3"/>
    <sheet name="DEBT COLLECTION" sheetId="4" r:id="rId4"/>
  </sheets>
  <calcPr calcId="152511"/>
</workbook>
</file>

<file path=xl/calcChain.xml><?xml version="1.0" encoding="utf-8"?>
<calcChain xmlns="http://schemas.openxmlformats.org/spreadsheetml/2006/main">
  <c r="E32" i="4" l="1"/>
  <c r="F32" i="4"/>
  <c r="E57" i="1"/>
</calcChain>
</file>

<file path=xl/comments1.xml><?xml version="1.0" encoding="utf-8"?>
<comments xmlns="http://schemas.openxmlformats.org/spreadsheetml/2006/main">
  <authors>
    <author>User</author>
  </authors>
  <commentList>
    <comment ref="A26"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<sst xmlns="http://schemas.openxmlformats.org/spreadsheetml/2006/main" count="1107" uniqueCount="830">
  <si>
    <t>17/5/2013: RECEIVED NEW SCRIPTS FOR 4 X ANIMATIONS AND NEED TO SUBMITE 3 QUOTES WITH GRAPHIC REFERENCES. HEVE SENT THE BOUTIQUE LOUNGE QUOTES AND REFERENCES</t>
  </si>
  <si>
    <t>17/5/2013</t>
  </si>
  <si>
    <t>ETISALAT EASYWALLET(4X)---N28,930,000.00</t>
  </si>
  <si>
    <t xml:space="preserve"> </t>
  </si>
  <si>
    <t>16/05/2013 - QUINTIN , DEBBIE AND BRIAN SAT IN ON A MEETING WITH CHIDUBEM AND SEUN AT OANDO . DEBBIE AND QUINTIN SPOKE OVER SKYPE TO OANDO IN NIGERIA. THEY ARE WANTING TO NEGOTIATE THE RETAINER AMOUNT FROM N5 500 000 DOWN TO N2 000 000 FOR THE FIRST YEAR , AND THEN WE WILL RENEGOTIATE THE RATE FOR THE 2ND YEAR WITH A CAP AT N3 500 000 , AS THE WORKLOAD MIGHT INCREASE . WE HAD A GOD MEETING AND EVERYONE SEEMED TO AGREE AND BRIAN WAS ALSO HAPPY WITH THIS. CHIDUBEM AND SEUN SAID THAT WE WILL BE GETTING FEEDBACK ON THE SIGNING OF THE DOCS BY THE END OF NEXT WEEK . THE CEO JUST NEEDS TO GIVE HIS FINAL SIGN-OFF. WILL KEEP IN TOUCH WITH SEUN AND CHIDUBEM OVER THE NEXT WEEK.</t>
  </si>
  <si>
    <t>HANDLING OF THE OANDO ACCOUNT FOR CREATIVE AND PRODUCTION</t>
  </si>
  <si>
    <t xml:space="preserve">IMS IMMERSION </t>
  </si>
  <si>
    <t>17/05/2013 - WE HAVE SPOKEN WITH BEM AT GT BANK AND HE HAS ANMSWERED OUR QUESTIONS REGARDING THE STILL PHOTOGRAPHY WHICH WILL BE ADDED TO THE N24 000 000 BUDGET , THEY HAVE REQUESTED 2 QUOTES ONE FOR STILL SHOOT ON SET AND ANOTHER FOR A STUDIO SHOOT</t>
  </si>
  <si>
    <t xml:space="preserve">17/05/2013 - HAVE SPOKEN WITH IKENNA AND ADVISED HIM THAT WE WILL BE MAKING THE AMENDMENTS TO THE TREATMENT AS PER THE CONVERSATION WITH ERNIE TH CD AND LIAM YESTERDAY. WE WILL ALSO BE RESENDING THE NEW QUOTE FOR $150 000 AND A TENTATIVE SCHEDULE. THEY WILL THEN  SET UP A SKYPE CALL FOR MONDAY BETWEEN AGENCY , CLIENT AND OURSELVES </t>
  </si>
  <si>
    <t xml:space="preserve">19/02/2013 - MET WITH SULE AT THE PROTEA HOTEL IN IKEJA , HE FLEW IN FROM ABUJA FOR THE MEETING . SULE IS FROM NIGERIA BUT GREW UP IN THE UK . HE IS ALSO A FILM SCHOOL GRADUATE AND A QUALIFIED DIRECTOR AND PRODUCER . HE IS ALSO THE OWNER OF STONE MOUNTAIN , THAT STARTED OFF AS A PRODUCTION HOUSE IN ABUJA BUT NOW ALSO DO CREATIVE . HE SAID HOEVER THAT THERE IS VERY LITTLE PRODUCTION WORK IN ABUJA AND THE FEW GOVERNMENT JOBS THEY DO HAVE A SHOE STRING BUDGET . THEY HAVE 1 BIG CLIENT THOUGH AND THATS THE NASCO GROUP WHO HAVE  CORNFLAKES , SUGAR , RICE ETC . THEY WON THE ACCOUNT LAST YEAR AND HAVE DONE SOME TV WORK FOR THEM . HE SAID HOWEVER THAT THEIR PRODUCTION UNIT IS VERY SMALL AND THEY WILL NEED TO COLLABERATE WITH SOMEONE LIKE US FOR BIG TV SHOOTS . HE HAS ALSO DIRECTED SOME TVC'S AND WILL SEND US HIS REEL AND CV AS WE CAN HAVE A LOOK AT HIS WORK AND USE HIM AS A LOCAL DIRECTOR / PRODUCER IF NEED BE . NASCO WILL HAVE SOME WORK COMING UP IN THE NEXT 3  MONTHS </t>
  </si>
  <si>
    <t>TOYOTA</t>
  </si>
  <si>
    <t>FEB 2013: PLANNING A LOCAL TVC WITH BLUEBIRD IN 3RD QUARTER</t>
  </si>
  <si>
    <t>20/02/2013 - QUINTIN MET WITH PETER AND BUKKI FROM TOYOTA NIGERIA . THEIR LOCAL AGENCY IS BLUE BIRD , SHE SAID THAT THEY HAVE SHOT QUITE A FEW ADS , THAT HAVE BEEN ADAPTED BUT MOST OF THEM BEEN ABROAD . THEY HAVE ALSO USED REFINERY BEFORE AND HAVE PRODUCED LOCALLY FOR TOYOTA COROLLA . SHE SAID THAT THEY HAVE PROPOSED A LOCAL SHOOT FOR 3RD QUARTER , BUT ARE WAITING FOR THEIR BOARD TO GIVE THE GO AHEAD . THIS WILL BE DONE WITH BLUE BIRD .</t>
  </si>
  <si>
    <t>KEEP IN TOUCH MONTHLY ON PROGRESS OF LOCAL TVC IN 3RD QUARTER</t>
  </si>
  <si>
    <t>FEB 2013: SKYE BANK TV WILL BE DONE END SECOND QUARTER...WEMA BANK TVC IN 3RD QUARTER....STERLING BANK TVC IN 3RD QUARTER/ LOCAL TOYOTA TVC AS WELL(HEARD FROM CLIENT)</t>
  </si>
  <si>
    <t>FEB 2013---WILL LOOK AT DOING SOMETHING IN THE FUTURE</t>
  </si>
  <si>
    <t>MEET WITH JOEL AT OUR NEW OFFICES ON TUESDAY 23 APRIL 2013 AT 10AM</t>
  </si>
  <si>
    <t>11/04/2013 - CALL FELIX ON MONDAY 15 APRIL AS PLANNED.</t>
  </si>
  <si>
    <t>MRS OIL - DROP VENDOR FORMS AND SEE JUDE- +234 80 73100092 , 8 MC CARTHY ROAD LAGOS ISLAND - QUINTIN</t>
  </si>
  <si>
    <t>02/04/2013 - MR THIRU HAS ADVISED THAT THE MADAM SQEAKY CLEAN TVC WILL BE DONE ROUND THE 3RD QUARTER</t>
  </si>
  <si>
    <t>FOLLOW UP IN 3RD WEEK OF APRIL TO SEE WHAT DIRECTION THEY INTEND ON TAKING AND WHAT BUDGETS HAVE BEEN PUT FORWARD</t>
  </si>
  <si>
    <t xml:space="preserve">QUOTED ON A TVC THR INTUITIVE </t>
  </si>
  <si>
    <t>SET UP MEETING TO DISCUSS THE TVC THEY WANT TO PRODUCE WHEN AND HOW MUCH?</t>
  </si>
  <si>
    <t>CALL AND FIND OUT WHAT THEY HAVE PLANNED FOR 2013</t>
  </si>
  <si>
    <t>TRY TO SEE KOAL AT CENTRESPREAD</t>
  </si>
  <si>
    <t>ZENITH BANK</t>
  </si>
  <si>
    <t>INDIO GAMBLING BRAND</t>
  </si>
  <si>
    <t>STARCOMMS LTD</t>
  </si>
  <si>
    <t>SET UP MEETING FOR QUINTIN AS HE NEEDS TO WORK ON CLIENT ABOUT THE TVC THEY HAVE PLANNED FOR END MARCH</t>
  </si>
  <si>
    <t>GLO REALITY SHOW//MALTA GUINNESS//AIRTEL MNP FOR QUOTING</t>
  </si>
  <si>
    <t>8/4/2013--RECEIVED A SCRIPT FROM ISSSA THAT NEEDS TO BE APPROVED BY CLIENT</t>
  </si>
  <si>
    <t>CHASE APPROVED SCRIPT FOR AIRTEL MNP FOR QUOTING</t>
  </si>
  <si>
    <t xml:space="preserve"> EPIDERM - N250 000</t>
  </si>
  <si>
    <t>ETISALAT EASYFLEX---60% DEPOSIT---N14,926,499.77,--FINAL -40% INV---N9,950,999.84---PAID N6 MIL, PD N10,858,000 12/04</t>
  </si>
  <si>
    <t>18/02/2013 - MET WITH CHRIS PARKES AT HIS OFFICE IN LEKKI , HE SAID HE HAS JUST OPENED NEW OFFICES IN KANO AND IN GHANA . HE SAID HE IS A BIT QUIET ON THE TV WORK SIDE BUT WILL BE DOING SOME BY THE 3RD QUARTER FOR DISTELL . THEY HAVE A NEW COCNAG CALLED BISQUIT THAT THEY ARE TO LAUNCH WHICH WILL GO INTO COMPETITION WITH REMY MARTIN AND HENESSY . HE SAID HE WILL BE WORKING ON THIS WITH JACQUE MULDER WHOM I KNOW FROM DISTELL . HE SAID TO STAY IN TOUCH AND WILL SEND US THE SCRIPTS ONCE APPROVED , FOR NOW THEY STILL BUSY WITH THE STRAT .</t>
  </si>
  <si>
    <t>FOLLOW UP MONTHLY WITH RGARDS TO PROGRESS ON THE BISCUIT(DISTELL) TVC PLANNED FOR 3RD QUARTER</t>
  </si>
  <si>
    <t>THE FIRE HOUSE/OBAIKA CONSULTANTS</t>
  </si>
  <si>
    <t>FEB 2013: GLO SCRIPTS WITHIN THE NEXT 2 MONTH</t>
  </si>
  <si>
    <t>TRACK GLO SCRIPTS</t>
  </si>
  <si>
    <t>STONE MOUNTAIN</t>
  </si>
  <si>
    <t>FEB 2013: NASCO HAS SOME WORK COMING UP IN THE NEXT 3 MONTHS</t>
  </si>
  <si>
    <t>CYBERSTROBE MARKETING</t>
  </si>
  <si>
    <t>DANGOTE GROUP (INCORPORATING DANSA FOODS)</t>
  </si>
  <si>
    <t>NOV 2012---NEW TVC YEAR 2013</t>
  </si>
  <si>
    <t>SPOKE WITH MR KEUBLER HE INFORMED ME THAT THE CURRENT TVC RUNS UNTIL YEAR END AND THEN NEXT YEAR THEY WILL LOOK AT A NEW ONE AROUND MARCH</t>
  </si>
  <si>
    <t>DP PARTENRSHIP HAVE PRODUCED 3 SCRIPTS(WILL CHOOSE 2 OF THESE)---DOCCI N7,000,000 / FOOTBALL TVC 9,530,000/ PROPOSAL TVC N11,510,00</t>
  </si>
  <si>
    <t>800,000</t>
  </si>
  <si>
    <t>COMPNAY</t>
  </si>
  <si>
    <t>OPPORTUNITY</t>
  </si>
  <si>
    <t>LAST CONTACT INFO</t>
  </si>
  <si>
    <t>NEXT ACTION</t>
  </si>
  <si>
    <t>NIGERIA</t>
  </si>
  <si>
    <t>OLAM GROUP/OK FOODS</t>
  </si>
  <si>
    <t>GHANA</t>
  </si>
  <si>
    <t>ETISALT EASYCLIQ CAST USAGE RENEWAL---N1,260,000</t>
  </si>
  <si>
    <t>ETU ODI COMMUNICATIONS</t>
  </si>
  <si>
    <t>MARCH 2013: SCRIPTS IN THE PIPELINE FOR CONSOLIDATED BREWERIES BRAND AND THEY HAVE BEEN ASKED TO PITCH ON PART OF THE ETISALAT ACCOUNT</t>
  </si>
  <si>
    <t>02/04/2013 - MR THIRU ADVISED THAT THIE JOB WILL ONLY HAPPEN TOWARDS THE END OF THE 3RD QUARTER</t>
  </si>
  <si>
    <t>CONTACT TAYSHIRA IN MAY RE INTERNATIONAL BLACKBERRY TVC THEY WANT TO LOCALISE</t>
  </si>
  <si>
    <t>20/3/2013: LAMATA  N24,101,700</t>
  </si>
  <si>
    <t>ANIMATION JOB FOR CADBURY--- 70% INV N2,793,000----30% INV N1,197,000</t>
  </si>
  <si>
    <t>VODACOM</t>
  </si>
  <si>
    <t>FIRST BANK BUSINESS TO BUSINESS---N1941000---FIRST ANIMATION STYLE</t>
  </si>
  <si>
    <t>26/3/2013---MASTER ARE READY FOR DELIVERY BUT WE FIRST NEED TO BE PAID</t>
  </si>
  <si>
    <t>26/3/2013---IN FINAL STAGES OF POST PRODUCTION BUT FINAL PAYMENT WILL ONLY HAPPEN 45 DAYS FORM DELIVERY OF APPORVED MASTERS</t>
  </si>
  <si>
    <t>MARCH 2013: MUSCLE RELAXANT TVC---WNATS TO RUN THIS CAMPAIGN AT END OF 2ND QUARTER</t>
  </si>
  <si>
    <t>FEB 2012: TV SERIES AND WE QUOTED ON A JOB FOR DAJCOM</t>
  </si>
  <si>
    <t>FOLLOW UP ON SKY BANK JOB AS WELL AND WHEN IT WILL HAPPEN</t>
  </si>
  <si>
    <t>21/03/2013 - QUINTIN WENT AND MET WITH THE OLAM GROUP AND ALL THE PARTIES AND DISCUSSED THE UPCOMING WORK THEY HAVE . MET WITH GIRISH AND EBERE ON DE-RICA AND TASTY TOMATO , THEY HAVE TO SCRIPTS THEY HAVE BEEN APPROVED AND ARE READY TO BRIEF OUT , BUT THEY SAID THIS MIGHT ONLY HAPPEN JUNE / JULY . MET WITH BOLA TOO AS SHE ALSO HAS A JOB FOR CHERIE NOODLES THAT HAS ALMOST BEEN APPROVED AND WILL BE BRIEFED OUT BUT SHE SAID MOST PROBABLY ONLY IN JUNE / JULY TOO . THESE JOBS ARE WITH ROSABEL. THEN SID SAMAL HAS MOVED FROM OK FOODS TO BEING THE NEW MARKETING HEAD FOR CANDIA WHOM DONT HAVE AN AD AGENCY FOR NOW , AND THERE IS A NEW GUY CALLED NISHANT THAT IS BEEN EMPLOYED BY OK FOODS WHOM THEY WILL INTRODUCE ME TO . SID WILL STILL KEEP US UPDATED ON THE OK FOODS ACCOUNT PITCH AS THE BRIEF DOC IS STILL BEEING APPROVED AND HE SAID JUST TO BE PATIENT. HE WILL SEND IT AS SOON AS IT HAS BEEN PASSED BY TOP MANAGEMENT</t>
  </si>
  <si>
    <t>CALL SID AND FIND OUT WHTEHER THEY ARE STILL PLANNING THE REBRANDING OF PAVKAGING FOR THE MILK/JOGHURT AND FRUIT JUICES AND IF THEY ARE WHEN WILL THE JOB BE COMMISSIONED</t>
  </si>
  <si>
    <t>MARCH 2013: BOLA SAYS CHERRIE NOODLES WILL HAPPEN IN JUNE/JULY....GIRISH &amp;EBERE SAYS DE RICA AND TASTY TOMATO WILL ALSO HAPPEN IN JUNE/JULY</t>
  </si>
  <si>
    <t>11/04/2013 - KEMI ADVISED THAT THIS WILL BE PAID AT THE END OF THE MONTH AS THIS IS WHEN PAYMENT WILL BE DUE</t>
  </si>
  <si>
    <t>11/04/2013 - KEMI HAS CONFIRMED THAT WE WILL BE PAID FOR THE TOM TOM USAGE BY THE END OF NEXT WEEK</t>
  </si>
  <si>
    <t xml:space="preserve">21/02/2013 - QUINTIN WENT AND MET WITH OLUFEMI AT SWIFT NETWORK . THEY ARE ONE OF THE BIGGEST 4G BROADBAND NETWORK IN LAGOS , AND ARE ON THE VERGE OF EXPANDING INTO OTHER PARTS OF NIGERIA NAMELY ABUJA AND PORT HARTCOURT . AT PRESENT THEY COVER THE WHOLE OF LAGOS AND DELTA STATE. THEY ARE ALSO DIRECTLY IN COMPETITION WITH MOBITEL WHOM WE ARE SEEING . THEY USED TO USE NOAHS ARK AS THEIR AGENCY , BUT NOW ARE USING TBWA . THEY ARE A RELATIVELY NEW COMPANY AND HAVE NOT DONE TV OR RADIO YET BUT THERE ARE PLANS FOR THAT IN THE NEAR FUTURE . OLUFEMI SAID THAT WE SHOULD STAY IN TOUCH AND HE WILL ADVISE AS SOON AS A BRIEF GOES OUT TO AGENCY </t>
  </si>
  <si>
    <t>MAKE CONTACT MONTHLY TO TRACK PROGRESS ON TVC</t>
  </si>
  <si>
    <t>FEB 2013: SQUEEKY CLEAN : MAY/  GOLD ESTATE DOCCI &amp;TVCS: JUNE/  FCMG(BUDGETS BETWEEN N3 AND 5 MIL FOR THIS YEAR...HAVE SOME OTHER WORK AS WELL</t>
  </si>
  <si>
    <t>SOULSIGHT</t>
  </si>
  <si>
    <t>TRACK PRGRESS ON SQUEEKY CLEAN/GOLD ESTATA AND FCMG...FIND OUT WHAT THE OTHER WORK IS HE MENTIONED</t>
  </si>
  <si>
    <t>DRAFT FCB AFRICA/PHILIP VAN RENSBURG</t>
  </si>
  <si>
    <t>KENYA</t>
  </si>
  <si>
    <t>OGILVY AFRICA--KENYA</t>
  </si>
  <si>
    <t>AIRTEL WORK IN UGANDA AND TANZAIA</t>
  </si>
  <si>
    <t>CHRIS FRIEND SENT AN EMAIL TO ADVISE US THAT THERE WAS WORK FOR UGANDA AND TANZANIA FOR AIRTEL---FORWARDED ME A COPY OF THE EMAIL FROM AMRIK RE UPCOMING TANZANIA WORK</t>
  </si>
  <si>
    <t>CHASE AIRTEL TANZANIA WORK AND GET CHRIS TO FOLLOW UP ON THE AIRTEL UGANDA JOB</t>
  </si>
  <si>
    <t>MAGGI TVC--TO BE SHOT IN NIGERIA: $92,363.21 = R757.378.35</t>
  </si>
  <si>
    <t>PUBLICIS--GHANA</t>
  </si>
  <si>
    <t>757,378.35</t>
  </si>
  <si>
    <t>BUA</t>
  </si>
  <si>
    <t>26.2.2013: CAMPAIGN PRODUCTION COSTS N59,577,000. WE HAVE QUOTED N461,000,000</t>
  </si>
  <si>
    <t>MAY &amp; BAKER</t>
  </si>
  <si>
    <t>MAKE CONTACT WITH NEW NARKETING MANAGER AT END OF APRIL TO SEE IF HE PLANS ANY TVCS</t>
  </si>
  <si>
    <t>FEB 2013---MIGHT DO TVC IN THE 3RD QUARTER</t>
  </si>
  <si>
    <t>CALL IN JULY TO SEE IF THEY INTEND TO DO A TVC THIS YEAR</t>
  </si>
  <si>
    <t>COCA COLA FOOD TVC'S ADAPTATIONS  X4 COMBINED QUOTE --N8,500,000 PLUS VAT----</t>
  </si>
  <si>
    <t>COKE JOB----EXTRA COST ON CAST APPROVED BY CLIENT</t>
  </si>
  <si>
    <t>RECEIVED THE PO TODAY--06/05---PD DEPOSIT--N13,429,152--09/05</t>
  </si>
  <si>
    <t>OGILIVY AFRICA</t>
  </si>
  <si>
    <t>TITLE CHANGES FOR STONE LAGER</t>
  </si>
  <si>
    <t>ETISALAT EASYCLIQ STILLS</t>
  </si>
  <si>
    <t>INVOICE FOR TVC ---R1,608,834.96---PD DEPOSIT R897,360</t>
  </si>
  <si>
    <t>APRIL 2013: PEAK MILK RAMADAN 15 SEC TAG : R372,098.87(VAT INCLUDED)</t>
  </si>
  <si>
    <t>15/05/2013 - SPOKE WITH SAFIYA NOW AND SHE ADVISED THAT THE CHAIRMAN HAS TRAVELLED TO BRAZIL FOR THE NEXT FEW DAYS AND SHE WILL ONLY BE ABLE TO SPEAK WITHY HIM WHEN HE GETS BACK NEXT WEEK</t>
  </si>
  <si>
    <t>22/05/2013</t>
  </si>
  <si>
    <t>02/07/2013</t>
  </si>
  <si>
    <t>15/05/2013 - MARSHANT HAS QUOTED ON THE 2 AFRABVITE TVC'S AND HAVE SENT ON TO PARIS . PARIS SAID HE IS WAITING FOR HIS CLIENT TO GET BACK TO HIM</t>
  </si>
  <si>
    <t>20/05/2013</t>
  </si>
  <si>
    <t xml:space="preserve">20/05/2013 </t>
  </si>
  <si>
    <t>15/05/2013 - AGENCY IS NOT TAKING OUR CALLS AND WE WERE TOLD BY TUNDE FROM 141 THAT INSIGHT SAID THAT THEY WONT WORK WITH US . SO WE WILL NOW NEED TO APPROACH CLIVE AND SEE IF HE WILL TAKE A CHOP.</t>
  </si>
  <si>
    <t>NOKIA - 15/05/2013 - $150 000</t>
  </si>
  <si>
    <t xml:space="preserve">15/05/2013 - WAITING FOR FEEDBACK FROM AGENCY </t>
  </si>
  <si>
    <t>15/05/2013 - WE HAVE INVOICED AGENCY AND THEY WILL NOW RAISE THE PO WITH CLIENT FOR THE MR BIGGS PRODUCTION</t>
  </si>
  <si>
    <t xml:space="preserve">21/05/2013 </t>
  </si>
  <si>
    <t>30/04/2013 - WENT AND MET WITH NOBEL GROUP , MET WITH PILKINGTON AS VARUN HAD STEPPED INTO A MEETING. HE ADVISED THAT THEY HAVE DONE TV AND THEIR LAST AD WAS DONE LOCALLY LAST YEAR. THEY USE AGENCIES AS NECESSARY AND HAVE WON QUITE A FEW AWARDS AND HAVE HAD MANY WRITE UPS ABOUT THE COMPANY IN THE LOCAL NEWS AND NEWSPAPERS AS DISPLAYED ON THEIR WALLS . THEY MANUFACTURE RUGS AND CARPETS FOR THE ELITE AND UPPERCLASS MARKETS AND ARE A WELL KNOWN BRAND IN NIGERIA. THEY ARE LOOKING AT TV , BUT NOTHING CONCRETE AS OF YET. FOLLOW UP IN A MONTH</t>
  </si>
  <si>
    <t>TVC COMING UP FOLLOW UP IN A MONTH</t>
  </si>
  <si>
    <t>17/05/2013 - WE HAVE SUBMITTED THE QUOTE SENT BY MARCHANT AND ALOS ADVISED THAT THERE IS NO WAY WE CAN SHOOT THE JOB FOR R600 000 AS ADVISED IN THEIR BUDGET . WE WILL NOW AWAIT THEIR REVERT. HAVE ALSO SENT THEM STEVES REEL AS REQUESTED</t>
  </si>
  <si>
    <t>17/05/2013 - JONO FROM AGENCY HAS ASKED THAT WE ONLY START WITH CASTING ONCE WE HAVE RECEIVED THE PO FROM CLIENT , WHICH THEY HAVE ADVISED SHOULD BE BY US BY WED NET WEEK. HAVE RESENT STEVE MANNERINGS REEL AS REQUESTED . CASTING WILL ALSO COMMENCE NEXT WEEK AND THE CE HAS BEEN APPROVED</t>
  </si>
  <si>
    <t>SEPT 2012---WANTTS TO DO A NEW TVC IN 2013</t>
  </si>
  <si>
    <t xml:space="preserve"> CHRIS SIAD HE IS GOING ON LEAVE AND WILL BE BACK NEXT YEAR MID JANUARY AND WE CAN CALL HIM THEN</t>
  </si>
  <si>
    <t>SC JOHNSON</t>
  </si>
  <si>
    <t>19/04---PD N3,850,000----PD2,100,000</t>
  </si>
  <si>
    <t>21/05/2013</t>
  </si>
  <si>
    <t>15/05/2013 - CLIENT HAS APPROVED THE CAST USAGE RENEWAL BUT HAVE NOT ISSUED PO YET . FOLLOW UP ON PO</t>
  </si>
  <si>
    <t>23/05/2013</t>
  </si>
  <si>
    <t xml:space="preserve">PRIMA GARNET </t>
  </si>
  <si>
    <t>OLD MUTUAL - 2 X TVC'S TO SHOOT BACK TO BACK</t>
  </si>
  <si>
    <t>19/03/2013 - WENT TO MEET WITH THE COSCHARIS GROUP AT THEIR NEW HEADQUARTERS 40 MINUTES PAST LEKKI ALMOST OUT OF LAGOS . THEY HAVE NOT DONE A TV AD FOR A WHILE , THEY USE PRIMA GARNET OGILVY AND HAVE ALSO USED ROSABEL LEO BURNET FOR TV IN THE PAST . AT THE MOMENT THERE ARE TALKS ON TV BUT NOTHING CONCRETE YET AS THEY ARE JUST SETTLING IN AND HAVE NO FIXED DATE YET . THEIR PRODUCTS ARE BMW , FORD , JAGUAR , MINI COOPER , RANGE ROVER AND LAND ROVER . IFEANYI WILL GO THROUGH OUR REEL FURTHER AND WILL ADVISE WHEN THEY HAVE DECIDED TO MOVE ON TV AND WHEN THEY BUDGETS APPROVED . WILL FOLLOW UP IN A MONTH WITH HIM .</t>
  </si>
  <si>
    <t>RIM</t>
  </si>
  <si>
    <t>MARCH 2013---WANT TO LOCALISE INTERNATIONAL TVC FOR BLACKBERRY 10</t>
  </si>
  <si>
    <t>DATE OF NEXT CONTACT</t>
  </si>
  <si>
    <t>JOHN - HAS BRIEFED CENTRESPREAD AND THEY ARE COMING UP WITH A SCRIPT,JOHN AS ASKED US TO COMMUNICATE DIRECTLY WITH CENTRESPREAD IF WE WOULD LIKE TO DO THE JOB AND IT MORE THAN LIKELY WILL ONLY HAPPEN NEXT YEAR.</t>
  </si>
  <si>
    <t>TRAINING</t>
  </si>
  <si>
    <t>KONGO.COM</t>
  </si>
  <si>
    <t>14/03/2013 - QUINTIN WENT AND MET WITH ONYEKA AND GABRIEL WHO TOGETHER RUN THE MARKETING DIVISION FOR KONGA.COM . THEY ARE AN ONLINE MEGASTORE AND ARE VERY QUICKLY EXPANDING . THEY HAVE DONE A TVC A WHILE BACK WITH FLIPSIDE STUDIOS LOCALLY , HOWEVER THEY ARE SATISFIED WITH THE QUALITY OF THE EDIT , THE BUDGET WAS N7 000 000 . THEY WOULD LIKE US TO CLEAN UP THE EDIT IF POSSIBLE AND WILL GET THE BRIEF ACROSS TO US . THE FOOTAGE IS WITH ROSABEL AND THEY GET US TOGETHER IN A MEETING WHEN THEY ARE READY . THEY ALSO HAVE ANOTHER 60SEC TVC IN THE PIPELINE WITH CUT DOWNS WHICH WE WILL DEAL WITH THEiR AGENCY ON , THIS WILL BE FOR THE 3RD QUARTER AND WILL BE BETTER AND BIGGER BUDGET THAN THE 1ST ONE . THIS IS WORK IN PROGRESS AND WE WILL DEAL WITH AGENCY AS WE HAVE A RELATIONSHIP WITH THEM . SO FOR NOW TIJANI WILL GET BACK TO US NEXT WEEK WITH THE CHANGES THEY WANT ON THE EDIT AND WILL ARRANGE THE FOOTAGE FOR US AS WELL .</t>
  </si>
  <si>
    <t>14/3/2013    CHASE TIJANI NEXT WEEK FOR CHNAGES TO EXISTING TVC AND THEN TRACK NEW TVC VIA ROSABEL IN THIRD QUARTER</t>
  </si>
  <si>
    <t>NOVELPOTTA Y&amp;R/WUNDERMAN</t>
  </si>
  <si>
    <t>MARCH 2013:  LG : 1 TVC EVERY 3MONTHS, FIRST END APR BEG MAY</t>
  </si>
  <si>
    <t xml:space="preserve">15/05/2013 - CLIENT HAS GONE QUITE ON US , WILL TRY CALLING AGAIN </t>
  </si>
  <si>
    <t xml:space="preserve">23/05/2013 </t>
  </si>
  <si>
    <t xml:space="preserve">25/05/2013 </t>
  </si>
  <si>
    <t>15/05/2013 - WE HAVE COMPLETED THE MAGGI SHOOT AND THIS IS NOW IN EDIT AND ALMOST DONE . WE HAVE ALSO INVOICED CLIENT FOR THE FINAL PAYMENT AS THIS WILL BE REQUIRED FOR THE DELIVERY OF MASTERS</t>
  </si>
  <si>
    <t>17/08/2013</t>
  </si>
  <si>
    <t xml:space="preserve">20/07/2013 </t>
  </si>
  <si>
    <t>15/05/2013 - WE WILL LOOK AT SORTING OUT THIS JOB ONCE WE HAVE RECEIVED OUR VISAFONE FLASHMOB MONEY FROM AGENCY AS THEY HAVE NOW BEEN PAID</t>
  </si>
  <si>
    <t xml:space="preserve">15/05/2013 - ANNED HAS REVERTED AND SAID THAT THE JOB HAS NOT BEEN AWARDED TO ANYONE YET AND WE WERE THE MOST EXPENSIVE SO FAR . SHE HAS ASKED THAT WE LOOK AT REVISING OUR COST AND ALSO INCLUDE THE HARDWARE IN THE QUOTE </t>
  </si>
  <si>
    <t>15/05/2013 - WILL CALL BOLANLE AND SEE WHAT HAS HAPPENED WITH THE JOB</t>
  </si>
  <si>
    <t>17/05/2013</t>
  </si>
  <si>
    <t>SEPT: ALL CORPORATE TVC DONE FROM INTERNATIONAL HEAD OFFICE---PLANNING SOME LOCAL WORK NEXT YEAR---AD AGENCY BBDO AND OGILVY</t>
  </si>
  <si>
    <t xml:space="preserve">MARCH 2013 : ZAKMED - TECH BETTER PERFORMANCE - R152500 / N3 202500 ; ZAKMED TECH CAR - ANIMATION QUOTE - R152500 / N3 202500 / N3 202500      </t>
  </si>
  <si>
    <t>call on Tuesday 9 april 2013</t>
  </si>
  <si>
    <t xml:space="preserve">SCHEDULE MEETING WITH SAATCHI CAPE TOWN AND CANDICE </t>
  </si>
  <si>
    <t>HEALTH AND SAFETY TRAINING AND TVC'S IN THE PIPELINE</t>
  </si>
  <si>
    <t xml:space="preserve">NIGERIA </t>
  </si>
  <si>
    <t>LOCAL WORK OPPORTUNITIES</t>
  </si>
  <si>
    <t>MIGHT DO AT TVC IF BOARD APPROVES IN YEAR 2013</t>
  </si>
  <si>
    <t>MIGHT NEED AN UPDATE TO THE ROMYTOPNAL TVC</t>
  </si>
  <si>
    <t>MIKANO QUOTES/HONEYWELL IPOD BOY RE-EDIT /7 X CUTDOWNS HONEYWELL /MIKANO QUOTE/SOKLIN NEW TVC</t>
  </si>
  <si>
    <t xml:space="preserve">HAVE CALLED ODUN , BUT HIS PHONE IS OFF SO WAITING FOR ODUNS RESPONSE , HAVE SENT A MAIL TO HIM FOR FEEDBACK ON THE HONEYWELL I-POD BOY 30 SEC CUTDOWN QUOTE . HAVE ALSO SENT MIKANO CLIENT A MAIL REQUESTING FEEDBACK ON THE APPROVALS FOR THEIR DOCCI AND TVC PRODUCTION </t>
  </si>
  <si>
    <t>MAKE A COURTESY CALL TO FOLLOW UP ON ALL WORK IN THE PIPELINE</t>
  </si>
  <si>
    <t>NESTLE GHANA</t>
  </si>
  <si>
    <t>NESCAFE,MILO AND NIDO  FOR GHANA AND NIGERIA</t>
  </si>
  <si>
    <t>STILL NO ANSWER , WILL SEND A MAIL</t>
  </si>
  <si>
    <t xml:space="preserve">OANDO OIL </t>
  </si>
  <si>
    <t>NEW TVC FOR 2013</t>
  </si>
  <si>
    <t>DOYIN INDUSTRIES LTD</t>
  </si>
  <si>
    <t>CALL TO SEE IF THERE IS A TVC IN THE PIPELINE AND WHEN THEY PLAN TO DO IT</t>
  </si>
  <si>
    <t>TVC THRU INSIGHT OR ROSABEL?</t>
  </si>
  <si>
    <t>WE NEED TO CALL THEM TO ESTABLISH WHAT WORK IS IN THE PIPELINE AND IF THEY WILL WORK THRU INSIGH OR ROSABELT...WHEN AND HOW MUCH?</t>
  </si>
  <si>
    <t xml:space="preserve">10/04/2013 - WE WILL BE SETTING UP A MEETING TO MEET WITH THE CHAIRMANS DAUGHTER AS SHE IS THE ONE RUNNING THE SHOW </t>
  </si>
  <si>
    <t xml:space="preserve">10/04/2013 - WE WILL BE MEETING WITH THEIR AGENCY POD IN SA ON OUR JOBURG TRIP . WE WILL SCHEDULE MEETING AND SEE THE AGENCY AND COME TO AN ARRANGEMENT </t>
  </si>
  <si>
    <t xml:space="preserve">SCHEDULE MEETING AND MEET WITH POD IN SA </t>
  </si>
  <si>
    <t xml:space="preserve">10/04/2013 - WE ARE SETTING UP A MEETING TO GO AND SEE GUINESS ON OUR NEXT TRIP </t>
  </si>
  <si>
    <t>WE WILL MEET WITH CLIENT IN NIGERIA</t>
  </si>
  <si>
    <t>SET UP MEETING WITH ROSABEL TO DISCUSS</t>
  </si>
  <si>
    <t>LET DO BUSINESS PACK---N4.2 MILLION</t>
  </si>
  <si>
    <t>FRANCHISE LAW</t>
  </si>
  <si>
    <t>CONTACT PARIS IN MAY AGAIN TO ESTABLISH WHEN THEY PLAN TO DO THE MEDICATED SOAP TVC</t>
  </si>
  <si>
    <t>SET UP A MEETING FOR A PROPER PRESENTATION TO LARRY AND HIS TEAM</t>
  </si>
  <si>
    <t>MARCH 2013 (SID WILL INTRODUCE US) RE THIS JOBS---3 X TVC'S TO BE PRODUCED FOR THEIR BISUITS BRAND---OUT FOR PITCH</t>
  </si>
  <si>
    <t xml:space="preserve">SOULSIGHT </t>
  </si>
  <si>
    <t>CALL UCHE ON MONDAY 8 APRIL</t>
  </si>
  <si>
    <t>MAKE CONTACT TO SEE IF THEY STILL WANT TO UPDATE ROMYTOPNAL TVC , AND SCHEDULE MEETING TO SEE IF THEY DON’T WANT TO DO A DOCCI</t>
  </si>
  <si>
    <t xml:space="preserve">FOLLOW UP ON MONDAY 8 APRIL AND GIVE CLIENT A CALL TO SEE IF THEY STILL INTEND ON DOING THEIR HAUSA CAMPAIGN </t>
  </si>
  <si>
    <t xml:space="preserve">BRA </t>
  </si>
  <si>
    <t>MARCH 2013---GOLDEN PENNY MASTERBRAND---SENT AMENDED QUOTE AS REQUESTED BY CLIVE --SHOOT LAGOS AND EDIT SA:R2,290,050($293238.75) ---SHOOT AND POST SA: R2,257,500($289070.25)</t>
  </si>
  <si>
    <t>FOLLOW UP ON STATUS : 2XDERICA/CHERRIE NOODLES/SAMSUNG MOBILE/BUSY WITH LOREAL SCRIPTS</t>
  </si>
  <si>
    <t>MOBI PHONE(RUN FROM ARIZONA OFFICES: SAME OWNER)</t>
  </si>
  <si>
    <t>NOV 2012---HAVE TVCS THEY WANT TO DO EARLY 2013</t>
  </si>
  <si>
    <t>JAN 2013: HAVE SOLD THEIR NUTRITION DIVISION TO NESTLE BUT MIGHT PRODUCE 2 DOCCIS IN THE SECOND QUARTER AS SOON AS THEY HAVE SELECETED THEIR NEW AGENCY</t>
  </si>
  <si>
    <t>MARCH 2013: EDIT ON EXISTING TVC AND A NEW TVC VI ROSABEL IN THE 3RD QUARTER --BUDGET HIGHER THAT N7MIL</t>
  </si>
  <si>
    <t>SQUEAKY CLEAN</t>
  </si>
  <si>
    <t>YEMI - THEY HAVE NEVER DONE TVC BEFORE, THEY WILL ONLY LOOK AT DOING TVC TOWARDS THE END OF NEXT YEAR.</t>
  </si>
  <si>
    <t>TVC COMING UP --CENTRESPREAD THE AGENCY</t>
  </si>
  <si>
    <t>PPL--PREMIUM PENSION LTD</t>
  </si>
  <si>
    <t>TVC PLANNED FOR 4TH QUARTER 2013</t>
  </si>
  <si>
    <t>FUNMI - PLAN TO DO TVC 4TH QURTER 2013</t>
  </si>
  <si>
    <t>TVC 4TH QUARTER 2013</t>
  </si>
  <si>
    <t>PROCTOR AND GAMBLE</t>
  </si>
  <si>
    <t>THIS IS AN INSIGHT CLIENT SO WE NEED TO LAY OFF THEM FOR A WHILE</t>
  </si>
  <si>
    <t>RECKIT BENCKISER AFRICA / INTERNATIONAL</t>
  </si>
  <si>
    <t>TVC'S / CORPOATE VIDEOS</t>
  </si>
  <si>
    <t>CALL NEXT YEAR TO TRACK PLANS FOR 2013</t>
  </si>
  <si>
    <t>SPUR</t>
  </si>
  <si>
    <t>SET UP A MEETING WITH KING JAMES TO DISCUSS THIS</t>
  </si>
  <si>
    <t xml:space="preserve">STAY IN CONTACT WITH CLIENT AND AGENCY FROM TIME TO TIME </t>
  </si>
  <si>
    <t>TVC'S/REALITY SHOW AND TRAINING</t>
  </si>
  <si>
    <t xml:space="preserve">UBA BANK </t>
  </si>
  <si>
    <t xml:space="preserve">UBA BANK CONCEPTS </t>
  </si>
  <si>
    <t xml:space="preserve">VISAFONE BIKER / PASSPORT </t>
  </si>
  <si>
    <t>VOV 2012---TVC IN SECOND HALF OF 2013</t>
  </si>
  <si>
    <t>INTUITIVE</t>
  </si>
  <si>
    <t>WAKANOV</t>
  </si>
  <si>
    <t>COUNTRY</t>
  </si>
  <si>
    <t>ADSTAR/HEINKEN</t>
  </si>
  <si>
    <t>PHILIP VAN RENSBURG/EKO SUPREME</t>
  </si>
  <si>
    <t>FOLLOW UP ON ANIMATION TVC'S THEY WERE PLANNING TO DO AND ALSO SCHEDULE MEETING TO DISCUSS THEIR PLANS FOR 2013</t>
  </si>
  <si>
    <t>MET WITH CHARLES AND PROF , THEY WILL WORK WITH US AGAIN , WE JUST NEED TO FIND A WORKABLE WAY , THEY ALSO REQUESTED A PRICE LIST AND A LIST OF ALL THE DIRECTORS WE REPRESENT AND THE WORK THEY HAVE DONE</t>
  </si>
  <si>
    <t xml:space="preserve">HAVE EXTENDED AN INVITE TO OUR NEW OFFICES AND HAVE A LEFT A REEL OF ALL OUR LATEST WORK . PRODUCE A PRICE LIST FOR THEM AND SEND THE A LIST OF THE DIRECTORS WE WOULD USE FOR LOCAL WORK IN NIGERIA </t>
  </si>
  <si>
    <t xml:space="preserve">MAKE CONTACT WITH YEMI THIS WEEK </t>
  </si>
  <si>
    <t xml:space="preserve">CALL THIS WEEK FOR FEEDBACK ON THE CORPORATE VIDEO </t>
  </si>
  <si>
    <t>CALL CHRIS SIAD AND SEE IF THEY ARE LOOKING AT DOING ANY TV WORK FOR 2013</t>
  </si>
  <si>
    <t>CAPE TOWN</t>
  </si>
  <si>
    <t>?---SOUTH AFRICA</t>
  </si>
  <si>
    <t>30/01/2013 - AGENCY HAS ADVISED THAT WE SHOULD GIVE CLIENT 3 WEEKS FOR A FULL UPDATE ON PROGRESS OF THEIR PRODUCT LAUNCH</t>
  </si>
  <si>
    <t>CALL TO SEE IF THEY ARE GOING TO DO THE SOAP TVC AND WHEN...ALSO IF THEY ARE PLANNING ANYTHING ELSE----FIND OUT WHAT HAPPENED TO THE PURIT JOB--ALSO SET UP A MEETING WITH THEM</t>
  </si>
  <si>
    <t>NOT HAPPY WITH NEXT ACTION COMMENT</t>
  </si>
  <si>
    <t>OLAM GROUP : CANDIA</t>
  </si>
  <si>
    <t>NOV 2012 : REBRANDING PACKAGING FOR MILK,YOGHURT,FRUIT JUICES--TV IN MARCH OR APRIL 2013</t>
  </si>
  <si>
    <t>TOTAL OIL</t>
  </si>
  <si>
    <t>NOV 2012 :E LEARNING TRAINING ---N5,000,000</t>
  </si>
  <si>
    <t>INTENSITY MEDIA</t>
  </si>
  <si>
    <t>EURO AFRICAN PETROLEUM</t>
  </si>
  <si>
    <t>NOV 2012: MIGHT BE A CORPORATE DVD FOR NEXT YEAR</t>
  </si>
  <si>
    <t>FUMMAN JUICE</t>
  </si>
  <si>
    <t>NOV 2012: MIGHT DO A TVC NEXT YEAR</t>
  </si>
  <si>
    <t>NOV 2012: WORKING ON SCRIPT FOR VITA VITE TVC VIA AGENCY. PRODUCTION WILL HAPPEN JAN/FEB 2013</t>
  </si>
  <si>
    <t>NOV 2012---HAVE A TVC COMING UP IN FEB(WE MUST DO CONCEPT AND PRODUCTION)</t>
  </si>
  <si>
    <t xml:space="preserve">SARO AGROSCIENCES </t>
  </si>
  <si>
    <t>NOV 2012---MIGHT HAVE A SOAP TVC AS THEY ARE LAUNCHING A NEW SOAP BRAND NEXT YEAR----QUOTED ON A PURIT TVC THRU BRANDBELIEVERS</t>
  </si>
  <si>
    <t>SPOKE WITH THE SALES &amp; MARKETING MANAGER,MOSES HE SAID THEY MIGHT HAVE A SOAP TVC THAT THEY WANT TO DO NEXT YEAR AS THEY WILL BE LAUNCHING A NEW BRAND,WE MUST CONTACT THEM NEXT YEAR AND COME AND SEE THEM AND DO A PRESENTATION</t>
  </si>
  <si>
    <t>CASCADE WATER</t>
  </si>
  <si>
    <t>SOUTH AFRICA</t>
  </si>
  <si>
    <t>STANDARD FLOUR MILLS</t>
  </si>
  <si>
    <t>CALL TO FIND OUT WHAT IS PLANNED FOR 2013</t>
  </si>
  <si>
    <t>BRISCOE FORD NIGERIA</t>
  </si>
  <si>
    <t>NOAHS ARK</t>
  </si>
  <si>
    <t>MARCH 2013: TVC FOR TETMASOL SOAP,FOR LEMON FRESH AND BABY SOFT THEY WANT IN THE NEXT 2 MONTHS--BUDGET $100,000 FOR 2 TVCS--NEED CREATIVE AS WELL AND 10% COMM---WANT IT TO BE ON AIR IN MAY</t>
  </si>
  <si>
    <t>MARCH 2013: SCRIPTS WITH SOULSIGHT--JOB TOWARDS END OF 3RD QUARTER</t>
  </si>
  <si>
    <t>FOLLOW UP ON STATUS OF THE PRINTED BOOKLET JOB</t>
  </si>
  <si>
    <t>NEED TO FIND OUT IF THEY ARE GOING AHEAD WITH THE BOOKLET</t>
  </si>
  <si>
    <t>CALL JIDE TO SEE IF THEY WILL PRODUCE THE TVC HE SPOKE ABOUT LAST YEAR AND IF THEY ARE PLANNONG A TVC THIS YEAR SET UP A MEETING FOR QUINTIN</t>
  </si>
  <si>
    <t>04/04/2013 - SET UP MEETING TO SEE WHAT WORK THEY HAVE FOR 2013 AS THEY SAID LASTE YEAR THE WERE PLANNING A NOODLES TVC</t>
  </si>
  <si>
    <t>MAKE CONTACT EVERY 2 MTHS TO SEE IF THERE IS ANY TV WORK</t>
  </si>
  <si>
    <t xml:space="preserve">FOLLOW UP EVERY 3 MONTHS </t>
  </si>
  <si>
    <t>MARCH 2013: MIGHT HAVE SOME WORK IN THE 4TH QUARTER</t>
  </si>
  <si>
    <t>MEGASEA</t>
  </si>
  <si>
    <t>TVC YEAR 2013</t>
  </si>
  <si>
    <t xml:space="preserve"> JOBS LIVE IN THE SYSTEM</t>
  </si>
  <si>
    <t xml:space="preserve">CENTURION </t>
  </si>
  <si>
    <t>AUTOMOTED GATES</t>
  </si>
  <si>
    <t>NIGERITE</t>
  </si>
  <si>
    <t>TV REALITY SERIES--N163,501,801</t>
  </si>
  <si>
    <t>ROSABEL LEO BURNETT</t>
  </si>
  <si>
    <t>CAMPAIGN</t>
  </si>
  <si>
    <t>STATUS</t>
  </si>
  <si>
    <t>COMMENTS</t>
  </si>
  <si>
    <t>BUDGET</t>
  </si>
  <si>
    <t>PRODUCTION/SALES</t>
  </si>
  <si>
    <t>HIGHLY LIKELY</t>
  </si>
  <si>
    <t>LIKELY</t>
  </si>
  <si>
    <t>LESS LIKELY</t>
  </si>
  <si>
    <t>DEBT COLLECTION</t>
  </si>
  <si>
    <t>CLIENT</t>
  </si>
  <si>
    <t>DATE</t>
  </si>
  <si>
    <t>BLUE BIRD ADVERTISING</t>
  </si>
  <si>
    <t>CAPITAL OIL &amp; GAS</t>
  </si>
  <si>
    <t>MIGHT BE TVC FOR 2013</t>
  </si>
  <si>
    <t>CISCO SYSTEMS</t>
  </si>
  <si>
    <t>AUGUST---SMALL BUDGET TVC'S PLANNED FOR THE FUTURE</t>
  </si>
  <si>
    <t>COMMSTRAT</t>
  </si>
  <si>
    <t>CONSOLIDATED FOOD &amp; BEVERAGES LTD</t>
  </si>
  <si>
    <t>SEPT 2012: PLAN TO DO A NEW NOODLES TVC BEFORE YEAR END</t>
  </si>
  <si>
    <t>DADDO INTERNATIONAL</t>
  </si>
  <si>
    <t>DP PARTNERSHIP</t>
  </si>
  <si>
    <t>E TRANZACT</t>
  </si>
  <si>
    <t>TVC 2013</t>
  </si>
  <si>
    <t>FAN MILK</t>
  </si>
  <si>
    <t>SEPT 2012: TVC IN YEAR 2013</t>
  </si>
  <si>
    <t>FOOD CONCEPTS</t>
  </si>
  <si>
    <t>GEOLYNX LIMITED</t>
  </si>
  <si>
    <t>GLAXO SMITH KLINE</t>
  </si>
  <si>
    <t xml:space="preserve">SEPT 2012: TVC AND SOME GRAPHIC WORK IN 2-3 MONTHS TIME(AGENCY PRIMA GARNET AND INSIGHT) </t>
  </si>
  <si>
    <t>GT BANK (GUARANTEE TRUST BANK)</t>
  </si>
  <si>
    <t>LINO LABORATORIES</t>
  </si>
  <si>
    <t>ME CURE HEALTH CARE</t>
  </si>
  <si>
    <t>MOBITEL</t>
  </si>
  <si>
    <t xml:space="preserve">MRS OIL--TEXACO REBRANDED </t>
  </si>
  <si>
    <t>NIGERIAN GERMAN CHEMICALS</t>
  </si>
  <si>
    <t>PARK N SHOP/SPAR</t>
  </si>
  <si>
    <t>TVC'S 2013-2014---MID YEAR</t>
  </si>
  <si>
    <t>PFIZER NIGERIA</t>
  </si>
  <si>
    <t>POWER HORSE</t>
  </si>
  <si>
    <t>AUG 2013---MIGHT DO TVC NEXT YEAR</t>
  </si>
  <si>
    <t>SPECTRA NIGERIA</t>
  </si>
  <si>
    <t>AUG 2012. LAUNCH OF SOYA IN THE NEXT FEW MONTH</t>
  </si>
  <si>
    <t>SWEET SENSATION</t>
  </si>
  <si>
    <t>TELNET NIGERIA LTD</t>
  </si>
  <si>
    <t>UNILEVER</t>
  </si>
  <si>
    <t>VITAL PRODUCTS</t>
  </si>
  <si>
    <t>LIKELIHOOD</t>
  </si>
  <si>
    <t>X3M</t>
  </si>
  <si>
    <t>IN THE PIPELINE</t>
  </si>
  <si>
    <t>141(OWED TO THE BOUTIQUE LOUNGE NIGERIA)</t>
  </si>
  <si>
    <t>TOM TOM JINGLE---N367500</t>
  </si>
  <si>
    <t>TOTAL</t>
  </si>
  <si>
    <t>DEBBIE</t>
  </si>
  <si>
    <t>QUINTIN</t>
  </si>
  <si>
    <t>DURAND WITH DEBBIE UPDATING REPORTS</t>
  </si>
  <si>
    <t>OGILVY AFRICA</t>
  </si>
  <si>
    <t>JAGAL GROUP</t>
  </si>
  <si>
    <t>TRANSOCEAN NIGERIA</t>
  </si>
  <si>
    <t>SPOKE WITH MR OKICHUKU AND HE INFORMED ME  THAT WE SHOULD MEET NEXT YEAR AS THEY WILL NEED SOME TRAINING MATERIAL.THEY CURRENTLY USE THE INTERNATIONAL STANDARD TRAINING DVD'S FROM AMERICA AND MAKING IT MORE LOCAL WOULD BE A GOOD THING</t>
  </si>
  <si>
    <t>ETISALAT</t>
  </si>
  <si>
    <t>TANG ( CADBURY CRAFT)---GHANA USAGE---N550,000 PLUS VAT N577500</t>
  </si>
  <si>
    <t>DADDA GROUP - AHMED - 10AM - +234 80 33889656 - KARIKO TOWERS 6TH FLOOR , 9 WHARF ROAD APAPA - DEBBIE AND QUINTIN</t>
  </si>
  <si>
    <t>2/10/2012: BASURE - THEY WILL BE DOING TVC BUT ONLY NEXT YEAR, HE SAYS THEY USE MANY AD AGENCIES &amp; DID NOT WANT TO DISCUSS WHICH AGENCY WOULD MOST LIKELY TO DO THEIR TVC</t>
  </si>
  <si>
    <t>KEEP IN CONTACT EVERY 3 MONTH</t>
  </si>
  <si>
    <t>KEEP IN MONTHLY CONTACT AS THEY HAVE SOME WORK COMING UP IN THE 3RD QUARTER</t>
  </si>
  <si>
    <t>MARCH 2013: HAVE A NUMBER OF THINGS PLANNED AS THEY ARE A GROUP</t>
  </si>
  <si>
    <t>SET UP A MEETING WITH CHAIRMANS DAUGHTER FOR NEXT WEEK TO PRESENT AS SHE IS IN CHARGE OF MARKETING---THEY HAVE A NUMBER OF BRANDS THAT NEED ADVERTISING</t>
  </si>
  <si>
    <t>MARCH 2013---THERE ARE TALKS OF A TVC BUT NOTHING DEFINITE</t>
  </si>
  <si>
    <t>DEPOSIT PD --N9,651,241.28 AND N20,000,000</t>
  </si>
  <si>
    <t xml:space="preserve">APPOINTMENT SCHEDULE QUINTIN NIGERIA 3RD JUNE TO 21ST JUNE 2013 </t>
  </si>
  <si>
    <t>RECKITT BENCKISER QAISSER TBC</t>
  </si>
  <si>
    <t>BRAND HEROES - TUESDAY 4TH JUNE  10:00 FELIX CONFIRMED 00234 80 33082375 11 A OGUNBIYI ADANDE CLOSE, OFF ISHOLA TAIOO OFF LALA HOLLOWAY OMOLE ETSTATE. OFF IKEKA</t>
  </si>
  <si>
    <t>NOSAK GROUP - WED 5TH JUNE 10:00 ONYEKACHI 00 234 8023119756I  2 Ramat Crescent, Ogudu GRA</t>
  </si>
  <si>
    <t>COBRANET - THURSDAY 6TH JUNE 10:00 CHATRU 00234 80 79 29 2286 Plot 8, Rafiu Babatunde St. Off Admirality way LEKKI</t>
  </si>
  <si>
    <t>PINK &amp; GREEN CAN GO TOGETHR</t>
  </si>
  <si>
    <t>MAY AND BAKER GABRIEL &amp;  00234  8027339945 CHUKUKA (NEW HEAD OF MKTING). No 3/5 Sapara Street Industrial Estate IKEJA TBC</t>
  </si>
  <si>
    <t>FCMB BANK THURSDAY 6TH JUNE 12:00 IKEA 17 SANUSI FANFUWA STREET VICTORIA ISLAND LAGOS NIGERIA</t>
  </si>
  <si>
    <t>YELLOW &amp; BLUE CAN GO TOGETHER</t>
  </si>
  <si>
    <t>BROWN</t>
  </si>
  <si>
    <t>CLASSIC BEVERAGES NIGERIA</t>
  </si>
  <si>
    <t>BENSON PLAN ON A TVC FOR THE 3RD QUARTER - THEIR CURRENT AGENCY IS  BRAND FOOTPRINT THEY WANT A NEW AGENCY AS BRAND FOOTPRINT HAS BEEN WITH THEM FOR 3 YEARS AND THEY NEED SOME FRESH CREATIVE IDEAS. BENSON CAN ONLY MEET WITH US AFTER THE 4TH OF MAY</t>
  </si>
  <si>
    <t>APRIL 2013: PLAN A TVC FOR 3RD QUARTER AND WANT TO APPOINT A NEW AGENCY</t>
  </si>
  <si>
    <t>ALPHA STAR PAINTS</t>
  </si>
  <si>
    <t>NEED TO DO TVC , NEVER DONE BEFORE AND DON’T HAVE AN AGENCY</t>
  </si>
  <si>
    <t>COLCAB</t>
  </si>
  <si>
    <t>INDUCTION DVD</t>
  </si>
  <si>
    <t xml:space="preserve">SPOKE TO Nadia Fortuin She has a very general  document that needs to be made more specific.
They will film in one location in Cape Town.
We can use their staff as actors
Induction needs to be about 30 min.
She has no idea on budget but she did get another quote to do the job for R13 000,00
We would need to write a scripts based on their material.
I can follow up with her in 2 weeks when she has made her document more specific to what she want
</t>
  </si>
  <si>
    <t>PLASCON</t>
  </si>
  <si>
    <t>HAVE ASKED MUZI WHAT THEIR BUDGET IS, HE WILL TRY FIND OUT AN DGET BACK TO ME. GET BUDGET</t>
  </si>
  <si>
    <t>MARCH 2013: ANOTHER MEDICATED SOAP TVC WITHIN THE NEXT 2 MONTHS &amp; 2 X AFRI VIT TVC COMING UP</t>
  </si>
  <si>
    <t>HONEYWELL DOCCIE</t>
  </si>
  <si>
    <t>19/04/2013 DURAND HAS QUOTED ON HONEYWELL DOCCIE. DURAND HAS ASKED FOR BUDGET</t>
  </si>
  <si>
    <t>GRAEME</t>
  </si>
  <si>
    <t>MPACT</t>
  </si>
  <si>
    <t>CSI CORPORATE DVD</t>
  </si>
  <si>
    <t>CELINE - HR MANAGER - THEY WANT TO DO A CSI DVD FOR A LOCAL SCHOOL THEY ARE "ÄDOPTING"". SHE WANTS A QUOTE FOR US TO DO A QUOTE FOR PHASE 1 OF THE CSI PROJECT. ITS FOR KALKFONTEIN PRIMARY SCHOOL IN KUILSRIVER, THEY WANT US TO FILM A 30 MIN DVD SHOWING THE SCHOOL BEFORE AND AFTER TREES HAVE BEEN PLANTED. WE WOULD NEED TO INTERVIEW THE PRINCIPAL, SOME PARENTS AND STUDENTS. THE TREE PLANTING WILL TAKE PLACE ON 17 MAY. SHE DOES NOT WANT ACTORS, THEY WILL PROBABLY NEED A VOICE OVER. SHE WILL SEND ME MORE INFO THAT WE CAN INCLUDE IN WRITING A SCRIPT. THE NEXT 2 PHASES THEY WILL ASK FOR QUOTES AT A LATER DATE.</t>
  </si>
  <si>
    <t>PD DEPOSIT 16/04---N26,350,731.00</t>
  </si>
  <si>
    <t>ETISALAT WE ARE BACK---9JA FREE CREDIT---100% INV N31,942,350</t>
  </si>
  <si>
    <t>PD DEPOSIT---N19,165,410</t>
  </si>
  <si>
    <t>NESCAFE CHOCO - PUBLICIS GHANA</t>
  </si>
  <si>
    <t xml:space="preserve">NESCAFE CHOCO - </t>
  </si>
  <si>
    <t xml:space="preserve">MEET AND PRESENT OUR BUSINESS PLAN TO CLEINT </t>
  </si>
  <si>
    <t>28/2/2013---SENT QUOTES TO CLIENT ....THEY WILL REVERT MID APRIL WHEN THEY KNOW WHAT BUDGET ALLOCATION FOR WHICH JOB HAS BEEN APPROVED</t>
  </si>
  <si>
    <t>RAND AMOUNT</t>
  </si>
  <si>
    <t>NAIRA AMOUNT</t>
  </si>
  <si>
    <t>SHOPRITE TV AND RADIO</t>
  </si>
  <si>
    <t xml:space="preserve">12/3/2013--PHILIP HAS ASKED TO MEET WITH ME ON THE 13TH MARCH AT 2PM TO DISCUSS THE SHOPRITE JOB </t>
  </si>
  <si>
    <t>MEET WITH PHILIP</t>
  </si>
  <si>
    <t>141 (CADBURIES)</t>
  </si>
  <si>
    <t>BOURNVITA TVC AND STILLS: 70% DEPOSIT-15,582,000 AND FINAL PAYMENT 6,363,180</t>
  </si>
  <si>
    <t>EMERGING MARKETS</t>
  </si>
  <si>
    <t>BOBO MILK AND INTERCONTINENTAL DISTILLERS QUOTES AND A CORPORATE TV CAMPAIGN IN 4TH QUARTER</t>
  </si>
  <si>
    <t xml:space="preserve">DANGOTE GROUP - ETHAN - 10  - MARBLE HOUSE IKOYI BY FALOMO BRIDGE---DEBBIE AND QUINTIN - </t>
  </si>
  <si>
    <t>MARCH---3 NEW PHARCEUTICAL BRANDS--MULTIVITAMIN,ANTACID AND A ZINC PRODUCT---NEED TVC AND PRINT--WILL HAVE BUDGETS APPROVED IN 2-3 MTHS</t>
  </si>
  <si>
    <t>HERITAGE BANK)VIA FUNKE CAST AGENNT AND DIGIBRANDS)</t>
  </si>
  <si>
    <t>MARCH 2013: HAIER THERMACOOL WASHING MACHINE---N9,544,500</t>
  </si>
  <si>
    <t>454,500.00</t>
  </si>
  <si>
    <t>MARCH 2013: FAYROUZ TVC AND PRINT ---N61,225,500</t>
  </si>
  <si>
    <t>AIRTEL ANIMATION TVC</t>
  </si>
  <si>
    <t>PROMISE FOOD &amp; BEVERAGES</t>
  </si>
  <si>
    <t>NOV 2013: THEY PLAN TO DO 2 TVC'S NEXT YEAR</t>
  </si>
  <si>
    <t>MAKE CONTACT IN FEBRUARY TO FIND OUT WHEN THEY PLAN TO PRODUCE THE 2 X TVC'S</t>
  </si>
  <si>
    <t>NOV: DOCCI FOR FIDSON IN 2013</t>
  </si>
  <si>
    <t>MEETING NEED TO BE ARRANGED BY FIDSON HEALTH TO INTRODUCE US TO INTENSITY MEDIA</t>
  </si>
  <si>
    <t>SET UP A MEETING NEXT YEAR FOR THE INTRODUCTION OF INTENSITY MEDIA</t>
  </si>
  <si>
    <t>INTEGRATED TELECOMM AND NETWORKS LTD</t>
  </si>
  <si>
    <t>NOV--MIGHT DO A TVC OR A CORPORATE DVD</t>
  </si>
  <si>
    <t>SPOKE WITH SIMON HE INFORMED ME THAT THEY ARE STILL DECIDING IF THEY MUST DO TVC AS THEY ARE A B2B COMPANY AND MIGHT RATHER NEED A COPORATE DVD FOR THE CUSTOMERS,PLEASE CALL BACK NEXT YEAR.</t>
  </si>
  <si>
    <t>OCT 2012 ---PLAN TO DO A TVC IN DECEMBER</t>
  </si>
  <si>
    <t>UNITED BREWERIES</t>
  </si>
  <si>
    <t>OCT 2012: MACDOWEL WHISKEY QUOTE THRU JWT</t>
  </si>
  <si>
    <t>MAKE CONTACT AND COMPELETE A CLIENT CONTACT SHEET AND PLACE ON THE NETWORK</t>
  </si>
  <si>
    <t>OCT 2012: TVC PLANNED FOR 1ST QUARTER 2013</t>
  </si>
  <si>
    <t>STAY IN CONTACT WITH CLIENT FOR THEIR UPCOMING WORK FOR PAYCOM</t>
  </si>
  <si>
    <t>FIRST CITY BANK EX (FIRST INLAND BANK PLC)</t>
  </si>
  <si>
    <t>PLANNING A TVC FOR END THIS YEAR OR BEGINNING NEXT YEAR---IT WILL BE THEIR FIRST</t>
  </si>
  <si>
    <t>ETISALAT BALANCE OF DEPOSIT PAYMENT---NELSON CALLED TODAY TO SAY THAT THIS WILL BE PAID INTO OUR ACCOUNT TOMORROW</t>
  </si>
  <si>
    <t>TANG GHANA RE-EDIT N409500</t>
  </si>
  <si>
    <t>11/04/2013 - WE HAVE BEEN ASKED TO DO AN EDIT FOR TANG GHANA , AND DURAND HAS SENT QUOTE</t>
  </si>
  <si>
    <t>09/04/2013 - WE HAVE BEEN ASKED TO DO SOME EDIT CHANGES TO THE TVC WE DID LAST YEAR . WE HAVE SUBMITTED QUOTE AND AWAIT AN APPROVAL</t>
  </si>
  <si>
    <t>FEB 2013: POSSIBLE CAMPAIGN FOR  THE NORTH</t>
  </si>
  <si>
    <t>FRIESLAND FOOD WAMCO GROUP NIGERIA(PEAK AND CROWN MILK)</t>
  </si>
  <si>
    <t xml:space="preserve">SET UP MEETING APRIL 2013 </t>
  </si>
  <si>
    <t xml:space="preserve">BOOKLET AND TVC'S FOR 2013 , CAST USAGE PAYMENTS </t>
  </si>
  <si>
    <t>SPOKE WITH DURO,HE ASKED FOR US TO CALL NEXT YEAR ,HE HAS OUR NUMBER AND THEY DON’T HAVE ANYTHING IN THE PIPLINE THIS SIDE OF THE YEAR</t>
  </si>
  <si>
    <t>FOLLOW UP ON SOYA LAUNCH IN 2013</t>
  </si>
  <si>
    <t>BRAND BELIEVERS</t>
  </si>
  <si>
    <t>PORTLAND PAINTS NIGERIA</t>
  </si>
  <si>
    <t>AUG 2012---DID A QUOTE TO BRAND BELIEVERS---WILL ONLY DO IT NEXT YEAR AND BUDGET WILL BE ABOUT N8,000,000</t>
  </si>
  <si>
    <t>MR DELABU THEY ONLY INTEND TO DO TVC NEXT YEAR, BUDGET WOULD BE AROUND 8M NIARA</t>
  </si>
  <si>
    <t>THEY INTEND TO DO A TVC THIS YEAR---CALL TO FIND OUT WHEN</t>
  </si>
  <si>
    <t>MR ANIS - THEY DON’T PLAN ON DOING ANY TVC FOR A WHILE NOW, IN THE LAST 2 YEARS THEY HAVE DONE 2 TVC, BUT THEY MIGHT ONLY LOOK AT IT NEXT YEAR</t>
  </si>
  <si>
    <t>ACCESS BANK</t>
  </si>
  <si>
    <t>OLAM GROUP/CROWN MILLS</t>
  </si>
  <si>
    <t>DDB HOT LAGOS</t>
  </si>
  <si>
    <t>SAMSUNG</t>
  </si>
  <si>
    <t>STB MCCANN NIGERIA</t>
  </si>
  <si>
    <t xml:space="preserve">SAATCHI CAPE TOWN </t>
  </si>
  <si>
    <t xml:space="preserve">GUINESS AFRICA ACCOUNT / MALTA GUINESS </t>
  </si>
  <si>
    <t xml:space="preserve"> PT MAYORA CANDY BRAND(CLIENT TOLD US THEY HAVE TVCS COMING UP SOON)</t>
  </si>
  <si>
    <t>08/04/2013 - FINBANK HAS NOW MERGED WITH FCMB , FCMB HAS SHOT AN AD WITH CAPE FILMS AND DDB AS THE AGENCY IN CAPE TOWN SA AT THE END OF 2012</t>
  </si>
  <si>
    <t>DDB HOT NIGERIA IS THE AGENCY FOR FCMB</t>
  </si>
  <si>
    <t>14/02/2013 - QUINTIN WENT TO GO AND MEET WITH JOSHUA AT PEAK MILK AND WAS TAKEN TO BE INTRODUCED TO THEIR NEW INDIAN MARKETING DIRECTOR SHRAMAN JHA. HE SAID THAT THEY STILL USE LEFTFIELD IN CAPE TOWN AND THEY DON’T HAVE ANY TV WORK WITH THEM FOR NOW . BUT</t>
  </si>
  <si>
    <t xml:space="preserve">FOLLOW UP WITH MOFOF FOR SCRIPTS ON MONDAY 8 APRIL 2013 </t>
  </si>
  <si>
    <t xml:space="preserve">05/04/2013 - ALL THIS WORK IS SITTING WITH BASIL AND WILL BE DONE THIS YEAR , HE WILL ADVISE WHEN THEY ARE READY HE SAID </t>
  </si>
  <si>
    <t xml:space="preserve">THIS WORK WILL COME TO US THROUGH GERRIT </t>
  </si>
  <si>
    <t xml:space="preserve">GET SULES REEL AS HE PROMISED HE WOULD SEND IT </t>
  </si>
  <si>
    <t xml:space="preserve">08/04/2013 - SPOKE WITH STEVE BABAEKO AND HE HAS ADVISED THAT THEY ARE STILL WAITING TO DO ANY WORK FOR THIS CLIENT AS CLIENT HAS NOT SPENT A CENT WITH THEM YET . THIS ACOOUNT IS SPLIT BETWEEN X3M AND NOAHS ARK. STEVE SAID HE WILL LET US KNOW WHEN THERE IS ANY MOVEMENT ON THIS ACCOUNT </t>
  </si>
  <si>
    <t>AGENCY WILL ADVISE WHEN THEY START WOEKING ON ANY TV WORK FOR THIS CLIENT , AS FOR NOW THERE IS NOTHING YET.</t>
  </si>
  <si>
    <t>STAY IN TOUCH WEEKLY WITH UBA AS THEY IGNORE YOU WHEN WE CALL TOO MUCH</t>
  </si>
  <si>
    <t>08/04/2013 - WAKANOV'S WHOLE ACCOUNT IS HANDLED BY INTUITIVE MARKETING AND MOFO SAID HE WILL BE IN CONTACT WITH US AS SOON AS THEY LOOK AT DOING MORE TV WORK</t>
  </si>
  <si>
    <t xml:space="preserve">STAY IN CONTACT WITH AGENCY , AS AGENCY AND WAKANOV CLIENT ARE FRIENDS </t>
  </si>
  <si>
    <t>3 X TVC'S TO BE PRODUCED BY MAY 2013--1=CHIC CHOC BISCUITS=N10,483,200(PRODUCTION) N1,155,000(CREATIVE)</t>
  </si>
  <si>
    <t>INSIGHT COMMUNICATIONS</t>
  </si>
  <si>
    <t>FEB 2013 : ETISALAT NMP ANIMATION---$23138.50</t>
  </si>
  <si>
    <t>FEB 2013: 30SEC/15SEC CUTDOWN TVC IN 3RD QUARTER</t>
  </si>
  <si>
    <t>PT MAYORA INDAH TBK</t>
  </si>
  <si>
    <t>FEB 2013: HAVE TVCS COMING UP SOON WE MUST DEAL WITH AGENCIES</t>
  </si>
  <si>
    <t>FIRST FIND OUT WHAT THEY WANT TO SPEND ON PRODUCTION AND WHO WILL DO THE MEDIA PLANNING FOR THEM AND IF THERE IS AN OPPORTUNITY FOR US TO DO MEDIA --THEN LET MEET AND DISCUSS THE WAY FORWARD . CALL ON TUESDAY 9 APRIL 2013</t>
  </si>
  <si>
    <t>MEET WITH MR GROVER AGAIN WHEN IN LAGOS AND SEE IF THE BUDGETS HAVE BEEN PUT FORWARD</t>
  </si>
  <si>
    <t>MAKE CONTACT MARK OLSEN IN GHANA</t>
  </si>
  <si>
    <t>04/04/2013 - THESE JOBS ARE READY TO BE BRIEFED , MEET WITH AGENCY ROSABEL</t>
  </si>
  <si>
    <t>SCHEDULE NEW MEETING WITH DONALD</t>
  </si>
  <si>
    <t>PROMISADOR</t>
  </si>
  <si>
    <t>04/04/2013 -SCHEDULE MEETING WITH CLIENT</t>
  </si>
  <si>
    <t xml:space="preserve">LOYA MILK </t>
  </si>
  <si>
    <t>MARCH 2013: HAVE SOME WORK COMING UP AND WILL SELECT THE AGENCY THAT DOES THE BEST PITCH TO DO THE WORK</t>
  </si>
  <si>
    <t>DRAFT FCB</t>
  </si>
  <si>
    <t>ENGEN BOTSWANA 30 SEC</t>
  </si>
  <si>
    <t>28/1/2013---DURAND SENT QUOTE TO PHILIP---WE CAME IN AT HIS BUDGET</t>
  </si>
  <si>
    <t>TRACK TV WORK ON 2ND QUARTER AND INVITE THEM ROUND TO OUR OFFICES AND TRY AND PITCH THEM PANDAMONIUM AS AN AD AGENCY</t>
  </si>
  <si>
    <t xml:space="preserve">14/03/2013 - WENT AND MET DUMEBI AT AGENCY , HE SAID THAT THEY HAVE WORK COMING UP TOWARDS THE END OF THE SECOND QUARTER . THEY HAVE WON THE LG ACCOUNT , THEY ARE DOING MOBILE , HOME APPLIANCES AND AIRCONS . THEY WILL ALL REQUIRE TV WORK WITH AT LEAST 1 TVC EACH 3 MONTHS .THEY HAVE TAKEN THE ACCOUNT FROM JWT.  FOR NOW THERE MIGHT SOMETHING TOWARDS THE END OF APRIL/MAY . THEY ALSO HAVE CHEVRON THAT THEY HAVE STARTED WORKING ON AND PERMANENT WHICH IS A MOSQUITO NET COMPANY . HAVE GONE THROUGH OUR NEW REEL AND HE SAID THAT I SHOULD FOLLOW UP AGAIN WITH HIM AT THE END OF THE MONTH TO TRACK PROGRESS AND SEE IF THEY HAVE ANYTHING APPROVED FOR LG YET </t>
  </si>
  <si>
    <t>FOLLOW UP ON LG WORK END MARCH /FIRST WEEK APRIL</t>
  </si>
  <si>
    <t>MARCH 2013: MIGHT BE SOME TV WORK FOR MAGGI AFTER ACTIVATION</t>
  </si>
  <si>
    <t xml:space="preserve">14/03/2013 - WENT AND MET WITH VALENTINE AT BRAND BELIEVERS , HE SAID THAT WE CAN SCRAP ALL THE JOBS THAT WERE NOT DONE LAST YEAR . HE SAID THAT THEIR CLIENTS KEPT THEM HANGING AND CANNED MOST OF THE PRODUCTION JOBS . HOWEVER THEY ARE BUSY WITH SOME ACTIVATION FOR MAGGI AT PRESENT FOR NESTLE OF WHICH THERE MIGHT BE SOME TV WORK . HE SAID THAT THIS WILL BE DETERMINED AFTER THE ACTIVATION PERIOD WHICH WILL HAPPEN IN THE NEXT 2 MONTHS . THAT IS ALL PRODUCTION WORK THAT THEY HAVE PLANNED FOR NOW AS THEIR CLIENT ARE STILL BUSY PUTTING BUDGETS TOGETHER </t>
  </si>
  <si>
    <t>CONTACT MONTHLY FOR FOLLOW UPS AND TRACK TV FOR MAGGI AFTER ACTIVATION</t>
  </si>
  <si>
    <t>MARCH 2013: NEW CAMPAIGN BUDGETS WILL BE SIGNED OFF AFTER APRIL AGM</t>
  </si>
  <si>
    <t>CHRIS</t>
  </si>
  <si>
    <t>VISAFONE</t>
  </si>
  <si>
    <t>FEEL GOOD FILMS SOUTH AFRICA</t>
  </si>
  <si>
    <t>11/12/2012 : SERVICING JOB FOR NIGERIA AND GHANA</t>
  </si>
  <si>
    <t>CADBURIES</t>
  </si>
  <si>
    <t xml:space="preserve">X3M </t>
  </si>
  <si>
    <t>COSCHARIS GROUP</t>
  </si>
  <si>
    <t>FIRST GROUP</t>
  </si>
  <si>
    <t>PREMIER PAINTS</t>
  </si>
  <si>
    <t>GLOBACOM</t>
  </si>
  <si>
    <t>TVCS : HARP LARGER,GUINESS STOUT,SMIRNOFF,BAILEYS,JOHNNY WALKER,MALTA GUINESS</t>
  </si>
  <si>
    <t>GUINESS - DIAGEO</t>
  </si>
  <si>
    <t>OAKLANDS &amp; JOHNSON</t>
  </si>
  <si>
    <t>CPMS (CHRIS PARKES MARKETING SOLUTIONS)</t>
  </si>
  <si>
    <t>ETHIOPIA</t>
  </si>
  <si>
    <t>2 MORE TVC'S BY APRIL</t>
  </si>
  <si>
    <t>RESHOOT BEGINNING OF PASSPORT---DURANDS QUOTE N6,856,500 AND CHRIS QUOTE N7,447,507.75</t>
  </si>
  <si>
    <t>NATURELLE EXTRACTS</t>
  </si>
  <si>
    <t>09H00</t>
  </si>
  <si>
    <t>10H00</t>
  </si>
  <si>
    <t>11H00</t>
  </si>
  <si>
    <t>12H00</t>
  </si>
  <si>
    <t>13H00</t>
  </si>
  <si>
    <t>14H00</t>
  </si>
  <si>
    <t>15H00</t>
  </si>
  <si>
    <t>16H00</t>
  </si>
  <si>
    <t>17H00</t>
  </si>
  <si>
    <t>18H00</t>
  </si>
  <si>
    <t>LEADS</t>
  </si>
  <si>
    <t>QUOTES</t>
  </si>
  <si>
    <t>SUBARU MOTORS</t>
  </si>
  <si>
    <t>BOUTIQUE LOUNGE</t>
  </si>
  <si>
    <t>SWIFT NETWORKS</t>
  </si>
  <si>
    <t>BG218</t>
  </si>
  <si>
    <t>MIKANO</t>
  </si>
  <si>
    <t>PRIMA GARNET OGILVY</t>
  </si>
  <si>
    <t>STAY IN MONTHLY CONTACT WITH AGENCY ON STATUS OF TV SERIES AND CALL ON TUESDAY 9 APRIL 2013</t>
  </si>
  <si>
    <t>SCHEDULE MEETING</t>
  </si>
  <si>
    <t xml:space="preserve">08/04/2013 - FUNKE WILL UPDATE ONCE SHE HAS MET WITH CLIENT </t>
  </si>
  <si>
    <t>15/05/2013 - WE WILL NEED TO RESCHEDULE THE MEETING WITH  ADEMOLA AT CENTURION TO SEE FOR THE BRIEF FOR CENTURION SYSTEMS . ADEMOLA . THEY ARE WORKING ON BRIEF AND WILL FOLLOW UP AT THE END OF THE MONTH</t>
  </si>
  <si>
    <t xml:space="preserve">29/05/2013 </t>
  </si>
  <si>
    <t>16/5/2013---SENT A BOUTIQUE LOUNGE QUOTE FOR THE NEW AMBER BOARD</t>
  </si>
  <si>
    <t>16/5/2013</t>
  </si>
  <si>
    <t>15/5/2013</t>
  </si>
  <si>
    <t>17/5/2013: DURAND ADVISED THAT BRIAN HAS MADE CONTACT WITH SAM WHO ADVISED THAT BOTH HE AND THE BRAND MANAGER HAS SIGNED OFF RGE JOB AND THE ARE MEETING WITH THE DUTCH MARKETING DIRECTOR ON MONDAY FOR A FINAL APPROVAL. IMS HAS MADE CONTACT WITH US AND ASK. SEND REVISED TREATMENT TO LADI AND THEN FOLLOW UP WITH BRIAN ON TUEDAY TO FIND OUT WHAT HAPPENED AT THE AGENCY REPSENTATION. QUINTIN WILL ALSO FOLLOW UP WITH LADI ON TUESDAY</t>
  </si>
  <si>
    <t xml:space="preserve">QUOTE FOR STILLS </t>
  </si>
  <si>
    <t xml:space="preserve">17/05/2013 - GT BANK HAVE REQUESTED A QUOTE FOR STILLS FOR PRESS , BILLBOARDS AND ONLINE MEDIUA FOR 24 MONTHS . WE HAVE SENT THIS TO THEM AND NOW AWAIT THEIR FEEDBACK </t>
  </si>
  <si>
    <t>FAN MILK - TUESDAY 4TH JUNE 14:00 MISS CHARITY 2348139378864 5 Billings way, oregon industrial estate</t>
  </si>
  <si>
    <t>ORANGE (FIRST THING IN THE MORNING)</t>
  </si>
  <si>
    <t>LOWE LINTAS -TUESDAY 4TH JUNE 16:00 ANDREW 00 2348139903474 6 SYLVIA CRESCENT ANTHONY VILLAGE LAGOS NIGERIA</t>
  </si>
  <si>
    <t xml:space="preserve">TBWA NIGERIA </t>
  </si>
  <si>
    <t>IMPERIAL LEATHER SOAP</t>
  </si>
  <si>
    <t>16/05/2013 - HAVE RECEIVED 2 BOARDS FOR OLD MUTUAL NIGERIA TO QUOTE AND TREAT . WE ARE TO QUOTE TO SHOOT BACK TO BACK. QUOTE HAS BEEN SENT TO DEJI</t>
  </si>
  <si>
    <t>ONGA COOKING SHOW - 13 PART SERIES</t>
  </si>
  <si>
    <t>16/05/2013 - HAVE SENT MARCHANT THE BRIEF FOR THE ONGA COOKING SHOW AND HE WILL NOW COST THIS FOR US .</t>
  </si>
  <si>
    <t>ETISALAT---EASY STARTER GOOD TING---60% N13,429,152 AND 40% N8,952,768</t>
  </si>
  <si>
    <t>DIAMOND BANK 2 TVC, BIG DREAMS AND U NEED A BANK---N34,098,926.73 AND N14,613,825.75</t>
  </si>
  <si>
    <t>METROPOLITAN REPUBLIC</t>
  </si>
  <si>
    <t>MTN CRANES JOB</t>
  </si>
  <si>
    <t>NESTLE NIGERIA</t>
  </si>
  <si>
    <t>LEFTFIELDS SOUTH AFRICA</t>
  </si>
  <si>
    <t>MAGGI TVC SHOOT---100% INV R1,280,757.15</t>
  </si>
  <si>
    <t>PD DEPOSIT $50,000. R449,450.22</t>
  </si>
  <si>
    <t>CLIENT PD DEPSOIT, CHRIS ADVISED NOW THEY ONLY OWE US $12000 CAUSE THEY PAID SUPPLIERS DIRECTLY. SO CHRIS TO GIVE RECON.</t>
  </si>
  <si>
    <t>BERGER PAINTS</t>
  </si>
  <si>
    <t>MARKETING MANAGER IS WORKING ON A PROPOSAL TO GIVE THE BOARD TO DO A TVC, THEY DON’T HAVE AN AD AGENCY</t>
  </si>
  <si>
    <t>ZENITH BANK GHANA</t>
  </si>
  <si>
    <t xml:space="preserve">TVC COMING UP </t>
  </si>
  <si>
    <t xml:space="preserve"> OGILVY GHANA</t>
  </si>
  <si>
    <t>AGENCY HAS TVC COMING UP, THE MD WILL GET THEIR CREATIVE DIRECTOR TO LOOK AT OUR SIGHT</t>
  </si>
  <si>
    <t>TBWA MARCKOM GHANA</t>
  </si>
  <si>
    <t>TVC COMING IN 2 MONTHS</t>
  </si>
  <si>
    <t>KOBBY - THEY WILL NOT HAVE ANY TVC FOR ABOUT THE NEXT 2 MONTHS BUT THEN HE IS EXPECTING SOME PROJECTS TO COME IN</t>
  </si>
  <si>
    <t>PRIZE COMMUNICATIONS</t>
  </si>
  <si>
    <t>KEYSTONE BANK TVC COMING UP</t>
  </si>
  <si>
    <t>FORTE OIL ASKED ME TO CONTACT THEIR AGENCY PRIZE COMMUNICATIONS. SHAKA - HAVE AN APPOINTMENT ON WED 1 MAY AT 12:00. THEY HAVE A TVC COMING UP FOR KEYSTONE BANK THAT THEY WILL BE BRIEFING SHORTLY. THEIR CLIENTS INCLUDE OIL COMPANIES, MANUFACTURING, ENGINEERING, BANKING, ENERGY</t>
  </si>
  <si>
    <t xml:space="preserve">23/04/2013 - WENT AND MET WITH AFOLABI AND COLLECTED THE REF VIDEO FOR THE DOCUMENTARY AND ALSO HAD THEM FILL OUT THE BRIEF DOC IN FULL IN ORDER FOR US TO QUOTE PROPERLY. HAVE SENT THIS ON TO DEBBIE AND DURAND AND BRIAN AS THIS WILL AID HIM WITH THE CREATIVE. </t>
  </si>
  <si>
    <t>08/05/2013 - QUINTIN AND BRIAN WENT TO MEET WITH OANDO OIL AT THEIR REQUEST . MET WITH THE HEAD OF PROCUREMENT . JONOTHAN AND SEUN . THEY HAVE AGREED ON THE COSTINGS WE SENT AND HAVE ONLY ASKED US TO TAKE OFF THE MEDIA BUDGET AS THIS WE WILL QUOTE ON JOB FOR JOB. JONOTHAN HAS TOLD PROCUREMENT TO ARRANGE FOR OUR CONTRACT DOCS SO WE CAN SIGN-OFF ON THE JOB. PROCUREMENT HAS ADVISED THAT THIS WILL TAKE A FEW DAYS AND HE WILL BE IN CONTACT WITH US FOR WHATEVER HE NEEDS. SO WE HAVE BEEN PRETTY MUCH AWARDED THE ACCOUNT FOR OANDO OIL AND WILL SEAL THE DEAL ONCE WE SIGN THE LEGAL DOCS.</t>
  </si>
  <si>
    <t>19/04/2013 - BALAJI SENT A MAIL REQUESTING THAT WE MOVE THE MEETING TO THE FIRST WEEK IN MAY AS GABY IS AWAY</t>
  </si>
  <si>
    <t>07/05/2013 - WENT AND COLLECTED THE BRIEF AN OUTLAY FOR THE REALITY SHOW FOR ONGA ON A FLASH. AGENCY HAS ASKED US TO QUOTE FOR THE FULL PRODUCTION WITH A 15% AGENCY COMMISSION INCLUDED . WE WILL BE ASKED TO GO AND PRESENT WITH CLEMENT TO CLIENT. ONGA WILL SPONSORING THE SHOW AN WILL HAVE LOCAL CELEBRITY KATE HENSHAW AS THE LEAD .</t>
  </si>
  <si>
    <t>MARCH 2013: 2XDERICA/CHERRIE NOODLES/SAMSUNG MOBILE/BUSY WITH LOREAL SCRIPTS. REALITY SHOW FOR ONGA</t>
  </si>
  <si>
    <t>08/05/2013 - WENT AND MET WITH IKENNA TO SEE HOW FAR WE ARE WITH THE NOKIA JOB. THEY ARE BUSY WITH SIGN-OFF WITH THE NOKIA CLIENT AND SHOULD HAVE AN ANSWER BY THE END OF NEXT WEEK. IKENNA HAS ALSO SENT A MAIL WITH SOME FEEDBACK ON THE BOARD AFTER THEY MET WITH THE CLIENT AND  WOULD NEED US TO LOOK AT THE OPENING SCENE. HAVE MAILED LIAM AS WELL SO WE CAN SEE WHAT WE CAN DO.</t>
  </si>
  <si>
    <t>JWT LAGOS</t>
  </si>
  <si>
    <t>NOKIA TVC</t>
  </si>
  <si>
    <t>22/04/2013 - WENT AND MET WITH EJIRO AT BLUEBIRD TODAY , HE HAS ADVISED THAT THEY ARE STILL BUSY NEGOTIATING AND GOING BACK AND FORTH ON BUDGET WITH THE CLIENT. HE SAID THAT THEY EXPECT FEEDBACK IN THE NEXT 3 WEEKS FROM CLIENT AS THEY ARE RUNNING AN EVENT WHICH WILL NEED TO COINCIDE WITH THE TVC THEREFORE WILL NEED TO TAKE A DECISON. EJIRO HAS ALSO SAID THAT THE FEEDBACK THEY HAVE FROM THEIR SKYE BANK CLIENT IS THAT THEY ARE LOOKING AT RUNNING THEIR OLD TVC'S THEY DID WITH CENTRESPREAD, EJIRO SAID THAT CLIENT SAID THAT THERE ARE SOME TVC'S THAT THEY NEVER RAN OR TOOK OFF AIR AND WILL RUN THOSE. THIS MEANS THAT THERE WILL BE A CAST USAGE IMPLICATION COST , ALSO THE TVC'S WE SHOT ARE STILL RUNNING ON THE ATM'S.EJIRO SAID TO STAY IN TOUCH OVER THE NEXT FEW WEEKS.</t>
  </si>
  <si>
    <t>22/04/2013 - QUINTIN WENT AND MET WITH OANDO OIL AND SAT WITH PROCURMENT FIRST AND WENT THROUGH OUR VENDOR DOCS THAT WE ARE TO SUBMIT TO THEM , THE DOCUMENTATION THAT WE HAVE SENT THEM IS FINE , BUT THEY HAVE REQUESTED SOME ADDITIONAL DOCS BEFORE THEY CAN PROCESS OUR VENDOR REGISTRATION. THEY REQUIRE OUR ANNUAL AUDITED REPORT , LETTER OF REFERENCE FROM OUR BANK WHICH I HAVE REQUESTED FROM FEMI , OUR COMPANY SAFETY POLICY STATEMENT AND A NEW TAX CLEARANCE CERTIFICATE AS OUR 1 HAS EXPIRED. THEN THEY WILL ONLY START LOOKING AT BRIEFING ON ANY WORK AT END MAY BEGINNING JUNE ONCE THE NEW MANAGEMENT TEAM HAVE TAKEN UP THEIR POSITIONS. THE HEALTH AND SAFETY DEPARTMENT SITS IN APAPA AND HAS A SEPARATE PROCUREMENT DEPARTMENT AND JUDE WILL INTRODUCE ME TO THEM AS WELL. FOR NOW WE FIRST NEED TO GET OUR VENDOR FORMS AT THEIR HEAD OFFICE ON LAGOS ISLAND</t>
  </si>
  <si>
    <t>23/04/2013 - QUINTIN WENT AND MET WITH DDB , AND MET WITH AGNES MARQUES THE NEW AGENCY PRODUCER FROM THE UK AND JOEL AS OLUMIDE HAS LEFT THE AGENCY. PRESENTED OUR REEL TO HER AS WELL AND ALSO TOLD HER ABOUT OUR NEW OFFICES AND OUR SET UP HERE. SHE SAID THAT THEY DO HAVE QUITE A BIT OF MTN WORK IN THE PIPELINE BUT THE BUDGETS ARE SMALL AND ABOUT N2 000 000 FOR THE RETAIL ADS , THESE ARE NORMALLY SMALL SHOOTS OR STUDIO SHOOTS AND THEY WOULD NORMALLY GROUP A FEW TOGETHER. SHE SAID THAT AVF HAS JUST DONE A STRING OF THESE. THEIR MASTERBRAND TVC'S THAT THEY NORMALLY DO TWICE A YEAR HAVE MORE BUDGET. SHE SAID THAT THEY ALSO HAVE SOME WORK FOR UNILEVER COMING UP FOR KNORR AND SOME OTHER WORK SHE WILL INFORM ME ABOUT . SHE DID SAY THAT WHEN THE NEW SCRIPST FOR MTN WERE READY SHE WOULD SEND US A BRIEF . SHE SEEMS NICE AND VERY JACKED UP .</t>
  </si>
  <si>
    <t>23/04/2013 - WENT TO MEET WITH MAGGIE AT PFIZER , THEY HAVE A DOCUMENTARY COMING FOR A MOSQUITOE IMMUNISATION PROJECT THAT THEY WANT US TO WORK ON FOR THEM , THEY ARE COMPILING A BRIEF AND WILL BRIEF US DIRECTLY IN ABOUT 2 WEEKS. SHE SAID THAT WE MUST STAY IN TOUCH WITH HER.</t>
  </si>
  <si>
    <t>BATES COSSE</t>
  </si>
  <si>
    <t>24/04/2013 - WENT AND MET WITH THE NEW MD UNOARA AND PRESENTED OUR NEW REEL AND SPOKE ABOUT OUR FACILITIES WE HAVE ON GROUND NOW . HE SAID THAT HE WAS WONDERING WHAT HAS HAPPENED TO US AS HE ACTUALLY SENT A BRIEF OUT TO FARUK EXPECTING A QUOTE AND TREATMENT FROM US AND WHEN HE GOT IT BACK HE REALISED THAT IT WAS NOT FROM US AND THE TREATMENT WAS BAD SO HE CANNED THEIR QUOTE AND TREATMENT AND ONLY FOUND OUT LATER WE HAD SPLIT. THEY HAVE SOME MORE WORK FOR PROMISODOR FOR COWBEL AND TOP TEA THAT THEY WILL BE BRIEFING US ON IN THE NEXT 2-3 WEEKS AND THEY WILL WORK WITH US AGAIN. THEY ALSO HAVE A NEW CLIENT WHICH IS CBN - CENTRAL BANK OF NIGERIA THAT WILL BE DOING WORK AND THIS COULD BE A BIG JOB AND HE WILL BRIEF US ON THIS AS WELL ONCE THE THE BRIEF IS READY PROBABLY IN THE NEXT MONTH. HE HAS AKSED THAT WE STAY IN TOUCH AS THE COWBEL WORK WILL COME UP SOON.</t>
  </si>
  <si>
    <t>TVC FOR COWBEL, PROMASIDOR &amp; TOP TEA COMING UP</t>
  </si>
  <si>
    <t>24/04/2013 - QUINTIN WENT AND MET WITH PARIS AT THEIR NEW AGENCY , THEY HAVE SENT US 2 SCRIPTS FOR AFRABITE THAT THEY WANT TO SHOOT BACK TO BACK FOR THEIR CLIENT. BUDGET HE SAID WE CAN COST FOR N3000 000 - N5000 000 PER SCRIPT AND WE NEED TO ADD 10% AGENCY COMMISSION. HE HAS ALSO FILLED OUT THE BRIEF DOCUMENT WHICH HAS BEEN SENT ON. HE SAID COME IN AT BUDGET OF APPROX N5 MIL AS CLIENT WILL STILL NEGOTIATE. THEY WANT TO SHOOT BY END OF MAY. THEY WILL REQUEST TREATMENT ONCE THE BUDGET HAS BEEN SIGNED OFF. WE CAN PROPOSE A DIRECTOR SO LONG AND SEND THEIR REELS IN THE INTERIM AND THEY WILL BE MEETING WITH CLIENT SOME TIME NEXT WEEK TO DISCUSS BUDGET. SO WE JUST NEED TO QUOTE SO LONG.</t>
  </si>
  <si>
    <t>25/04/2013 - WENT AND MET WITH MICHAEL WILLIAMS AT COMMSTRAT , HE SAID THAT THEY HAVE JUST WON THE ACCOUNT FOR INTERCONTINENTAL DISTILLERS FROM BRAND BELIVERS AND THEY HAVE QUITE A BIT OF TV WORK IN THE PIPELINE . THEY ARE HANDLING CHELSEA GIN , SQUADRON , EAGLE SCHNAPPS AND COMMODORE. THEY ARE BUSY CREATING TEASERS FOR ALL THE BRANDS AND WILL BE DOING 5 X 15 SECONDERS FOR EACH BRAND . THEY WILL PROBABLY BE READY WITH BRIEF IN THE NEXT MONTH HE SAID .</t>
  </si>
  <si>
    <t>25/04/2013 - WENT TO MEET WITH LOWE LINTAS . MET WITH ERABO QUICKLY AS HIM AND ANDREW WERE CALLED INTO A MEETING WITH NIGERIAN BREWERIES FOR A PRESENTATION WHEN I GOT THERE. THEY DO HAVE WORK IN THE PIPELINE COMING UP AND ANDREW THE CREATIVE HAS ASKED THAT I CALL HIM AS CLIENT WAS THERE AND HE DID NOT HAVE TIME TO MEET PROPERLY. SO WILL CALL HIM ON FRIDAY AND SEE WHAT WORK THEY HAVE PLANNED AND WHETHER WE CAN QUOTE .</t>
  </si>
  <si>
    <t>LOWE LINTAS</t>
  </si>
  <si>
    <t>TVC COMING UP</t>
  </si>
  <si>
    <t>NIGER INSURANCE</t>
  </si>
  <si>
    <t>26/04/2013 - WENT AND MET WITH MR OJEME AT NIGER INSURANCE . HE IS THE HEAD OF CORPORATE AFFAIRS. HE SAID THAT THEY DO NOT HAVE AN AD AGENCY AND HAVE NOT DONE A TVC YET . THEY ARE A BIG COMPANY AND ARE LOOKING AT DOING SOMETHING FOR THEIR 50TH ANNIVERSARY AND THEIR CAMPAIGN WILL BE BASED ON THAT AS THE THEME. HE SAID THAT THEY WILL DEVELOP A BRIEF AND SEND OUT WHEN THEY ARE READY. HE SAID TO MAKE CONTACT IN 2ND WEEK OF MAY AND SEE HOW FAR THEY ARE . WE WILL THEN NEED TO COME IN AND MEET AND SEE WHAT EXACTLY THEY WANT S THEIR ACCOUNT WILL GO UP FOR PITCH.</t>
  </si>
  <si>
    <t>26/04/2013 - WENT TO MEET WITH MOFO , HE ADVISED THAT THEY ARE WORKING ON SOME STUFF FOR WAKANOV AS THIS IS THEIR MAJOR CLIENT BUT NOTHING HAS BEEN SIGNED OFF YET. THEY ARE ALSO WORKING ON ANOTHER ACCOUNT BU HE WOULD NOT DIVULGE THE DETAILS . HE SAID TO KEEP IN CONTACT AS HE WOULD LOOK AT USING US AS HIS PRODUCTION HOUSE OF CHOICE. THEIR WAKANOV WORK IS COMMISSIONED FROM THE UK AND HE SHOULD HAVE FEEDBACK IN THE NEXT MONTH.</t>
  </si>
  <si>
    <t xml:space="preserve">26/04/2013 - WENT TO MEET WITH AGENCY AND MET WITH OLUMIDE , HE ADVISED THAT THEIR PITCH WITH ETISALAT WENT WELL AS FAR AS THEY ARE CONCERNED , BUT THEY HAVE HAD NO FEEDBACK YET FROM CLIENT. THEY ARE ALSO WORKING ON SOME STUFF FOR 33 LAGER FOR INTERCONTINENTAL BREWERIES AND WILL GIVE US THE OPPERTUNITY TO QUOTE. THIS WILL HAPPEN IN THE NEXT 2 MONTHS AS THEY ARE STILL DEVELOPING CONTENT FOR THE SCRIPT AND WILL NEED TO GET APPROVALS . </t>
  </si>
  <si>
    <t>CREATIVE XONE</t>
  </si>
  <si>
    <t>26/04/2013 - WENT AND MET WITH DOYIN AND SHOLA AT CREATIVEXONE. THEY WERE VERY WELCOMING AND MET IN THE BOARDROOM . DOYIN ADVISED THAT THEY HAVE WON SOME ACCOUNTS AND ONE OF THEM BEEN STERLING BANK THAT SHOULD HAVE SOME WORK COMING UP. THEIR LAST JOB THEY DID WAS FOR UNION BANK WITH LIAM CUNDILL AND CAPE FILMS . DOYIN HAS ALSO ASKED THAT DEBBIE GIVE HIM A CALL WHEN SHE GETS A CHANCE.</t>
  </si>
  <si>
    <t>STERLING BANK TVC COMING UP</t>
  </si>
  <si>
    <t>30/04/2013 - WENT AND MET WITH ACHMED AT DADDO , THEY ARE INTERESTED IN USING US AS A SUPPLIER OF CHOICE. THEY WILL BE REBRANDING THEIR MUSCLE RUB PRODUCT , AND SINCE WE LAST MET THE PACKAGING HAS CHANGED . SO HE SAID HE WILL SEND ME THE HIGH RES IMAGES SO WE CAN HAVE A LOOK. FOR NOW THEY WILL ONLY BE LOOKING AT TV AND RADIO . WE WILL NEED TO COME UP WITH ALL CREATIVE FOR TV AS WELL AS RADIO AND DO ALL THE PALCEMENTS AS WELL . THEIR BUDGET FOR TV IS IN THE REGION OF N8 000 000 TO N10 000 000 AND THEY WILL REQUIRE A 60 SEC TVC WITH CUTDOWNS AND THEN 2 RADIO ADS . THE TV AND RADIO WILL BE IN ENGLISH AND HAUSA. HE SAID WE CAN COME IN AND MEET AGAIN IN 3 WEEKS WHEN HE GETS BACK FROM THE UK AS THEY HAVE AN OFFICE THERE AS WELL. THIS WILL BE THEIR FIRST TV AD. THEY WILL LOOK AT PRINT AT A LATER STAGE AND THEY DO NOT HAVE AN AGENCY.</t>
  </si>
  <si>
    <t>NOBEL GROUP</t>
  </si>
  <si>
    <t>LEON HAS SENT PETER A PROPOSAL AND HE HAS EMAILED BACK THAT HE IS VERY IMPRESSED AND WILL REVERT TO LEON</t>
  </si>
  <si>
    <t xml:space="preserve">TRACK PROGRESS </t>
  </si>
  <si>
    <t>NEW TVC FOR SOKLIN ---5 OVER THIS YEAR FIRST WILL BE IN JUNE/ ARITEL PITCH FOR NIGERIA</t>
  </si>
  <si>
    <t>KEEP IN CONSTANT CONTACT WITH PHILIP</t>
  </si>
  <si>
    <t>20/02/2013 - WENT TO MEET WITH STARCOMMS , THEY ARE NOT A VERY FRIENDLY . HOWEVER THEY ARE BUSY RESTRUCTURING STILL , THEY HAVE A NEW MARKETING DIRECTOR JIDE IYIOLA WHOM HAS TAKEN OUR REEL TO HAVE A LOOK AT . THEY WOULDN’T DIVULGE ANY DETAILS ON THEIR AGENCY FOR SOME REASON , BUT DONT THINK THEY USE CENTRESPREAD ANYMORE AS CENTRESPREAD WAS THEIR OLD AGENCY . THEY WILL LOOK AT DOING TV IN THE FUTURE AGAIN , AND IF THEY ARE TO USE US THEY WILL CALL US . WILL FOLLOW UP WITH JIDE IYIOLA IN A MONTH OR 2 .</t>
  </si>
  <si>
    <t>MAKE CONTACT TO TRACK POSSIBILITY OF A NEW TVC EVERY 2 MONTHS</t>
  </si>
  <si>
    <t>FEB 2013: IN A MONTH OR 2 THEY WILL CALL US FOR A BRIEFING</t>
  </si>
  <si>
    <t>FEB 2013: TV WORK WILL HAPPEN IN 2ND QUARTER---PITCH PANDAMONIUM TO THEM AS WELL</t>
  </si>
  <si>
    <t>ETISALT IDOLS THE VOICE---$148791.30 = R1220,088.66…PD 70%. PD $29758.26 SHORT PAYMENT OF $7439.57 OUTSTANDING</t>
  </si>
  <si>
    <t>5/2/2013---DEBBIE EMAILED GERALD RECON OF PAYMENT DONE, AND ASK ABOUT THE SHORT PAYMENT MADE. GERALD HAS EMAILED IT TO FINANCE TO GIVE FEEDBACK</t>
  </si>
  <si>
    <t>31.1.2013---LEON EMAILED DEBBIE TO ADVISE THAT SOLOMON HAD MADE CONTACT AND THEY WERE TO ARRANGE A MEETING FOR HIM WITH THE HEEAD OF TRAININ</t>
  </si>
  <si>
    <t>CHRIS TO DO QUOTE AS SOON AS HE GETS A BRIEF</t>
  </si>
  <si>
    <t>VISAFONE/DV WORKS</t>
  </si>
  <si>
    <t>QUOTED FEMI BUT DONT KNOW IF JOB WILL GO AHEAD..WAITING FOR OUTCOME OF CURRENT VISAFONE JOB</t>
  </si>
  <si>
    <t>14/2/2013---RECEIVED AN EMAIL FROM VLAD TO ADVISE THAT THEY NEXT SCRIPT WILL BE WITH US FIRST WEEK IN MARCH AND THAT THE PRODUCTION MUST BE COMPLETED MID APRIL</t>
  </si>
  <si>
    <t>CHASE BOARDS AND SCRIPTS</t>
  </si>
  <si>
    <t>DEC 2012 : QUOTE AND INVOICE GILLETES USAGE</t>
  </si>
  <si>
    <t>PHILIP ADVISED ON JAN 2013 THAT ODUN WAS WORKING ON NEW SCRIPTS FOR SO KLIN</t>
  </si>
  <si>
    <t>OCT 2012---POSSIBLE WORK FOR PAYCOM IN YEAR 2013</t>
  </si>
  <si>
    <t>MARCH 2013: HERITAGE BANK TALKING HEADS: SHHOT LAGOS POST SA:N29,958,075(R1,426,575  /  SHOOT AND POST SA :N28,050,225(R1,335,725).../...SIGNATURE TO AUTOGRAPH: N22,652,700(R1,078,00)..../PROTEGE SHOOT NIGERIA POST SA N42,709,275(R2,033,775) SHOOT AND POST SA N41,791,575(R1,990,075)</t>
  </si>
  <si>
    <t>JWT</t>
  </si>
  <si>
    <t>04/04/2013 -CALLED AND SPOKE WITH SID SAMAL , HE SAID THAT THE BRIEF DOCS ARE STILL WITH TOP MANAGEMENT , AS SOON AS THEY ARE DONE HE WILL SEND TO ME . ALSO SID HAS MOVED ACROSS TO CANDIA AND WILL BE HEADING THEIR MARKETING. HOWEVER HE WILL STILL OVERSEE THE PROJECT HE WAS GOING TO DO AND WILL INTRODUCE US TO NISHANT THE NEW GUY TAKING OVER FROM HIM . SID WILL ALOS MAYBE MAKE A TURN AT OUR OFFICES IF HE HAS TIME AS HE IS CURRENTLY IN CT. SID SAID HE MIGHT MAKE A TURN BY OUR OFFICE ON FRIDAY  .</t>
  </si>
  <si>
    <t>KEEP IN TOUCH ABOUT THE DOCCIS THEY WANT TO PRODUCE IN THE SECOND QUARTER</t>
  </si>
  <si>
    <t>ENTERPRIZE BANK</t>
  </si>
  <si>
    <t>26/3/2013: THEY DO NOT HAVE ANY WORK IN THE PIPELINE FOR NOW AND ARE USING INSIGHT AS THEIR AGENCY. THEY MIGHT HAVE TOWARDS THE 4TH QUARTER</t>
  </si>
  <si>
    <t xml:space="preserve">MR BIGGS 2XTVC'S </t>
  </si>
  <si>
    <t>VERDEANT ZEAL MONDAY 10 JUNE 10:00 00234 80 30762809 15B, Sowemimo Street,Off Ladipo Bateye Street IKEJA</t>
  </si>
  <si>
    <t xml:space="preserve">30/04/2013 - TORUKA HAS ADVISED THAT THE ANIMATICE WE PRESENTED IS IN LINE WITH THE IDEA OR CONCEPT THAT THEY ARE LEANING TOWARDS AND IT IS UNDER CONSIDERATION FOR NOW. HOWEVER THERE ARE OTHER AGENCIES THAT WILL BE PRESENTING TO THEM ON FRIDAY . HE WOULD NOT SAY WHO THOUGH. HE ALOS SAID THAT THEY ARE LOOKING AT DOING THE JOB BY THE END OF THE 2ND QUARTER WHICH WILL BE JUNE 2013. THEY ARE NOT DISCLOSING A GUIDELINE BUDGET AS OF YET , SIMPLY SO THAT THEY DO NOT LIMIT THE CREATIVITY THAT THE GUYS ARE COMIMG UP WITH. ONCE THEY FIND THE CONCEPT OR APPROVE A CONCEPT THEY WILL ISSUE A BUDGET AND WE WILL WORK FROM THERE. TORUK HAS REQUESTED A WRITTEN CREATIVE OVERVIEW TO GO WITH THE ANIMATIC WE SENT EXPLAINING THE STORY AND RATIONALE BEHIND WAT WE TRYING TO COMMUNICATE TO THE AUDIENCE HE HAS ASKED THAT WE GET THIS TO HIM BY FRIDAY MORNING BEFORE. </t>
  </si>
  <si>
    <t>02/05/2013 - MET WITH KEYSTONE BANK AND THEY HAVE ADVISED THAT THEY ARE USING A SMALL AGENCY CALLED PRIZE COMMUNICATIONN FOR BELOW THE LINE AND PRESS. THEY ARE LOOKING AT USING US FOR PRODUCTION AND RADIO AND ARE HAVING BUDGETS APPROVED IN THE NEXT 3 WEEKS . EVERYTHING SHOULD BE IN PLACE BY END OF MAY AND WE WILL THEN BE CALLED IN FOR A MEETING . PRODUCTION WILL START BEGINNING OF THE 3RD QUARTER</t>
  </si>
  <si>
    <t>08/05/2013 - QUINTIN AND DURAND WENT AND MET WITH VICTOR AT THE FIRE HOUSE . SPOKE TO HIM ABOUT THE GLO WORK AS WELL AS THE OPPORTUNITY TO PRODUCE THEIR WORK WHICH HE SAID HE WAS FINE WITH. HE SAID THAT HE HAS NOW ALSO PURCHASED A BIG AMOUNT OF EQUIPMENT AS WELL AS AVID EDIT SUITES TO BRING HIS COSTS OF PRODUCING DOWN AND KEEPING IT INHOUSE. HE SAID HE HAS A PRODUCTION DEPARTMENT AND IS USING A LEBANESE TEAM FOR SOME OF HIS PRODUCTIONS. HE DID HOWEVER SAY THAT HE DOES NOT REALLY HAVE ACCESS TO GOOD DIRECTORS , AND WE ALSO SUMMED UP THAT HE DOES NOT NECESSARILY HAVE THE BEST OPERATORS AS HE SAID THEY CANT ALWAYS HANDLE THE CAPACITY. HE ALSO SAID HE DOES NOT HAVE THE BIGEST BUDGETS AND THEREFORE COST WILL BE A FACTOR. VICTOR HAS REQUESTED THAT WE SEND HIM 2 RATES CARDS , ONE FOR SMALL PROMO TYPE SHOOTS AND 1 FOR MASTERBRAND SHOOTS TAKING INTO CONSIDERATION THAT THE PRICES COULD VARY DEPENDING ON PACKAGE DEALS . SO WE WILL SEE WHAT HAPPENS NOW AND IF THEY WILL SEND US ANY WORK. THEY ARE ALOS TAKING ON OTHERV ACCOUNTS AND NOT ONLY GLO AND CON OIL. HE ALSO MENTIONED THAT CHRIS HAD PHONED HIM A WHILE BACK</t>
  </si>
  <si>
    <t>FRANCHISE LAW AND KENNETH</t>
  </si>
  <si>
    <t>APRIL 2013: 2 X AFRABVITE TVC</t>
  </si>
  <si>
    <t>MONDAY 3RD JUNE</t>
  </si>
  <si>
    <t>TUESDAY 4TH JUNE</t>
  </si>
  <si>
    <t>WEDNESDAY 5TH JUNE</t>
  </si>
  <si>
    <t>THURSDAY 6TH JUNE</t>
  </si>
  <si>
    <t>FRIDAY 7TH JUNE</t>
  </si>
  <si>
    <t>SATURDAY  8TH JUNE</t>
  </si>
  <si>
    <t>SUNDAY 9TH JUNE</t>
  </si>
  <si>
    <t>MONDAY 10TH JUNE</t>
  </si>
  <si>
    <t>TUESDAY 11TH JUNE</t>
  </si>
  <si>
    <t>WEDNESDAY 12TH JUNE</t>
  </si>
  <si>
    <t>THURSDAY 13TH JUNE</t>
  </si>
  <si>
    <t>FRIDAY 14TH JUNE</t>
  </si>
  <si>
    <t>SATURDAY 15TH JUNE</t>
  </si>
  <si>
    <t>SUNDAY 16TH JUNE</t>
  </si>
  <si>
    <t>MONDAY 17TH JUNE</t>
  </si>
  <si>
    <t>TUESDAY 18TH JUNE</t>
  </si>
  <si>
    <t>WEDNESDAY 19TH JUNE</t>
  </si>
  <si>
    <t>THURSDAY 20 TH JUNE</t>
  </si>
  <si>
    <t>FRIDAY 21ST JUNE</t>
  </si>
  <si>
    <t>SATURDAY  22ND JUNE</t>
  </si>
  <si>
    <t>SUNDAY 23RD JUNE</t>
  </si>
  <si>
    <t>NOW AVAILABLE AFRICA TBC</t>
  </si>
  <si>
    <t>AGENCY HAS PRIOROTISED 5 PRODUCT ADS FOR US TO WORK ON SO LONG WITH A BUDGET OF APPROX N24 MILLION NAIRA , BEM HAS SENT THE LINKS WITH THE INFO FOR THE PRODUCT ADS</t>
  </si>
  <si>
    <t>M.LE SUEUR AND ASSOC</t>
  </si>
  <si>
    <t>ETISALAT EASYCLIQ DANCE TVC</t>
  </si>
  <si>
    <t>OGILVY &amp; MATHER GHANA CONF</t>
  </si>
  <si>
    <t>15/05/2013</t>
  </si>
  <si>
    <t xml:space="preserve">15/05/2013 - SPOKE WITH TUNDE FROM 141 REGRDING THE JOB AND HE HAS ADVISED THAT THE JOB  HAS NOT BEEN AWARDED YET AND THEY ARE YET TO GRT FEEDBACK FROM THEIR CLIENT . HE SAID TO FOLLOW UP AT THE END OF THE WEEK </t>
  </si>
  <si>
    <t xml:space="preserve">17/05/2013 </t>
  </si>
  <si>
    <t xml:space="preserve">15/05/2013 - SPOKE WITH EJIRO AND HE HAS ADVISED THAT THEY ARE STILL GOING BACK AND FORTH WITH THEIR CLIENT ON BUDGET. HE SAID THAT AS SOON AS THEY GET FEEDBACK FROM THEIR CLIENT , WILL FOLLOW UP AGAIN AT THE END OF NEXT WEEK </t>
  </si>
  <si>
    <t xml:space="preserve">24/05/2013 </t>
  </si>
  <si>
    <t xml:space="preserve">16/05/2013 </t>
  </si>
  <si>
    <t>FEB 2013: MR TOYOBO -080 888 42960- ADVISED THAT THEY ARE RATHER LOOKING AT PRINT MEDIA AND EVENTS SPONSORHIP THAN TVC'S AT THE MOMENT. HE ADVISED THAT IF HE HAD TO SPECULATE, THEY WOULD PERHAPS LOOK AT TVC'S IN THE 3RD QUARTER OF THIS YEAR AND AGREED THAT WE FOLLOW UP WITH HIM CLOSER TO THAT TIME</t>
  </si>
  <si>
    <t xml:space="preserve">NILE LAGER TVC , AND CASTLE MILK STOUT </t>
  </si>
  <si>
    <t>27/2/2013 : CALLED AND SPOKE WITH MARK AT OGILVY AFRICA IN JOBURG TO FOLLOW UP ON THE NILE LAGER TVC THAT THEY WANT TO DO IN UGANDA , AND HE SAID THAT HE WAS CONTACTED BY MARK OLSEN YESTERDAY REGARDING THE JOB AND THEY ARE TO DO SOME MORE RESEARCH AND MAKE CHANGES TO THE BRIEF FOR NILE . HE ALSO SAID THAT THERE IS CASTLE MILK STOUT WORK WHICH DANIE HAS BEEN BUSY WITH , BUT HE THINKS DANIE HAS MADE HIS OWN SELECTION OF DIRECTORS ON THE JOB . MARK SAID HE WILL KEEP US POSTED ON THE NILE JOB , BUT WE WILL ALSO STAY IN CONTACT FROM OUR SIDE WITH UGANDA AND OGILVY AFRICA JOBURG</t>
  </si>
  <si>
    <t>28/2/2013</t>
  </si>
  <si>
    <t xml:space="preserve">ETISALAT MNP THE OFFICE --N20,616,750. WELCOME TO THE FAMILY---N23,301,135.00 </t>
  </si>
  <si>
    <t>25/3/2013---CHASING PERFORNAMNCE BOND SO WE CAN GET OUR 70% DEPOSIT---PD 04/04 N2,660,000</t>
  </si>
  <si>
    <t>SPOKE TO FEMI AND HE HAS ASKED US TO CALL EARLY NEXT YEAR AS THEY ARE FINISHING THE BTL WORK BEFORE WE GO ONTO TV AND POSSIBLY COULD HAVE SCRIPTS IN JAN</t>
  </si>
  <si>
    <t>PER PASTEL LEDGER</t>
  </si>
  <si>
    <t>THEUNS BESTER---FRAME 24 NIGERIA</t>
  </si>
  <si>
    <t>THEUNS BESTER PERSONAL</t>
  </si>
  <si>
    <t>OWES US N200,000(R10,000)</t>
  </si>
  <si>
    <t>OWES US N3,000,000 = R168000.00 MINUS R130,000 PAYMENT FROM RENT PAYMENT= N678566</t>
  </si>
  <si>
    <t>141 WORLDWIDE</t>
  </si>
  <si>
    <t>ETISALAT MAP USAGE AFRICA(N1,926,612.50) AND INTERNATIONAL(N4,424,987.50)</t>
  </si>
  <si>
    <t>ZOOM (RELIANCE)</t>
  </si>
  <si>
    <t>DEC 2012: WILL BE DOING AN AD IN MARCH</t>
  </si>
  <si>
    <t xml:space="preserve">13/03/2013 - WENT AND MET WITH TIJANI FROM LINO LABS AND HAD A GOOD MEETING WITH HIM . THEY MANUFACTURE FRUIT JUICE AND CARBONATED SODAS . THEY DO NOT HAVE AN AGENCY . AND THEY HAVE NOT DONE TV WORK YET AS THEY ARE NEW ON THE MARKET . THEY HAVE JUST BROUGHT OUT AN ALUMINIUM CANNED COCKTAIL FRUIT JUICE AlMOST LIKE JUST JUICE IN SA , AS WELL AS 3 CARBONATED SODAS CALLED SMATIESODA IN 3 VARIENTS APPLE , ORANGE , PINEAPPLE. THEY HAVE RUN PRESS FOR THIS AND PRINT BUT NO TV YET . THEY ARE ALSO TO LAUNCH THE SODAS INTO THE BIG RETAILERS LIKE GAME , SHOPRITE , PARK N . SHOP ETC . TIJANI HAS ASKED THAT WE GO TO THEIR WEBSITE AND RESEARCH THEIR PRODUCTS AND HE GIVEN ME EXAMPLES OF THE PRINT . HE SAID IF WE CAN COME UP WITH 2 CONCEPTS FOR THE SODA RANGE FOR TV , AND COME AND PRESENT TO HIM AND THE MD WHO ARE HEADING THE PRODUCTS . HE SAID IF THEY LIKE WHAT WE PRESENT AND APPROVE WE CAN RUN WITH THEIR CAMPAIGN . HE SAID THAT WE DONT NEED A BRIEF FROM THEM , WE JUST NEED TO RESEARCH THEIR PRODUCTS AND USE OUR OWN CREATIVE . HE WILL ADVISE ON WHAT KIND OF BUDGET BUT DOES NOT WANT TO LIMIT US </t>
  </si>
  <si>
    <t xml:space="preserve">13/03/2013 - MET WITH TOSIN THE HEAD CREATIVE  AT OAKLANDS AND JOHNSON , AT PRESENT THEY ARE STILL RUNNING WITH THE OLD TVC FOR CASCADE WATER , BUT ARE BUSY SCRIPTING SOME NEW STUFF FOR THEIR NEW CAMPAIGN WHICH THEY ARE LOOKING AT DOING AT THE END OF THE 2ND QUARTER , AS FOR VITA MILK THERE HAS BEEN NUMEROUS CHANGES TO THE SCRIPT AND THEY ARE WAITING FOR APPROVALS ON THIS , FOLLOW UP IN 2 WEEKS .
</t>
  </si>
  <si>
    <t>FOLLOW UP IN FIRST WEEK OF APRIL</t>
  </si>
  <si>
    <t>MAR 2013: NEW CASCADE CAMPAIGN IN 2ND QUARTER AND VITAMILK WAITING FOR APPROVAL</t>
  </si>
  <si>
    <t>FOSKOR</t>
  </si>
  <si>
    <t>FEB2013: 15 MINUTE ANIMATED SAFETY INDUCTION DVD</t>
  </si>
  <si>
    <t>KEEP IN MONTHLY CONTACT TO TRACK PROGRESS ON SCRIPTS , CALL AGAIN ON MONDAY 15 APRIL</t>
  </si>
  <si>
    <t>SCHEDULE MEETING WITH CLIENT</t>
  </si>
  <si>
    <t>MARCH 2013---NEW WAKANOV SCRIPTS IN THE NEXT 2 WEEKS FOR PRODUCTION IN THE NEXT 2 MONTHS</t>
  </si>
  <si>
    <t xml:space="preserve">DV WORKS PRODUCTIONS </t>
  </si>
  <si>
    <t>VISAFONE BIKER</t>
  </si>
  <si>
    <t>13/03/2013 - WENT TO GO AND MEET WITH FEMI , BUT AS I ARRIVED HE HAD TO LEAVE FOR ANOTHER MEETING . MET BRIEFLY WITH WALLY HIS ASSISTANT AND ALSO LEFT HIM WITH A SHOWREEL . TOUCHED ON THE VISAFONE BIKER JOB WHICH HE SAID HE WILL GET US MORE INFO ON . FEMI ALSO SAID HE WILL BE IN TOUCH , THEY HAVE ALSO OFFERED THEIR LOCAL ASSISTANCE IF WE EVER NEED AS THEY ARE KEEN TO WORK WITH US AND ALSO HAVE A VERY GOOD SET UP</t>
  </si>
  <si>
    <t>FOLLOW UP WITH FEMI ON VISAFONE BIKER. WE SHOULD ALSO TALK TO HIM ABOUT THE NIGERITE JOB AS HE WAS INVOLVED WITH BIG BROTHER</t>
  </si>
  <si>
    <t>MARCH 2013: THEY WANT TO START DOING TVC</t>
  </si>
  <si>
    <t>MARCH 2013: WORK LANNED FOR MIMMEE NOODLES/PANADOL AND ONE OF THEIR VITAMIN BRANDS---ALL IN THIRD QUARTER</t>
  </si>
  <si>
    <t>KEEP IN CONTACT MONTHLY TO FOLLOW UP ON MIMMEE NOODLES/PANADOL AND VITAMIN BRANDS TVC THAT THEY PLAN TO DO IN 3RD QUARTER ALSO SET UP APPOINTMENTNWITH NEW MARKETING DIRECTOR AS SOON AS HE STARTS WITH THEM</t>
  </si>
  <si>
    <t>UNION BANK</t>
  </si>
  <si>
    <t xml:space="preserve">02/04/2013 - FUNMI ADVISED THAT THER HAVE BEEN SOME INTERNAL CHANGES AND THAT WE SHOULD JUST HOLD ON TILL EVERYTHING IS SORTED OUT , SEEMD THE JOB IS ALSO ON HIOLD AT TH MOMENT </t>
  </si>
  <si>
    <t>WAIT FOR MEETING TO BE SCHEDULED BY FUNMI</t>
  </si>
  <si>
    <t>JAGAL GROUP - TETMASOL SOAP - BALAJI AND GABBY - 12 NOON - +234 70 64174683</t>
  </si>
  <si>
    <t>FLY HOME - QUINTIN</t>
  </si>
  <si>
    <t>08/11/2012--DEBBIE SPOKE TO ABERT---THERE IS NO MONEY IN EITHER SA OR NIGERIA---BOARD TO DECIDE WHAT THE NEXT STEP IS</t>
  </si>
  <si>
    <t>FUTURE LEARNING</t>
  </si>
  <si>
    <t>VARIOUS</t>
  </si>
  <si>
    <t>04/04/2013 - THEY SAID THEY WONT BE DOING TV ANYTIME SOON</t>
  </si>
  <si>
    <t>FOLLOW UP EVERY 6 MONTHS</t>
  </si>
  <si>
    <t>SPOKE WITH JIDE AGAIN,HE SAID HE RECIVED THE EMAIL AND THAT WE SHOULD COME AND SEE HIM IN THE NEW YEAR REGARDING TVC,HE MIGHT BE DOING A TVC WITH HIS AD AGENCY AND HE IS CURRENTLY DECIDEING ON WHICH AGENCY HE WILL GO WITH( HE DIDN’T WANT TO SAY WHO THE AGENCIES WHERE)</t>
  </si>
  <si>
    <t xml:space="preserve">27/03/2013 - WENT TO MEET WITH NELSON AT SWEET SENSATION AS SCHEDULED . HE MADE ME WAIT FOR OVER 30 MINUTES ONLY TO BE TOLD THAT THEY CANT SEE ME. THIS IS THE FIRTH TIME THAT THEY HAVE CANCELLED OR SIMPLY NOT PITCHED FOR THEIR MEETINGS . DON’T THINK THERE IS ANY OPPERTUNITY HERE AS THEY JUST WASTE A PERSONS TIME </t>
  </si>
  <si>
    <t>GRAEME CALL THEM AND SEE WHETEHR THEIR IS OPPORTUNITY AS THEY TOLD US THEY WERE PLANNING A TVC IN THE SECOND QUARTER OF THE YEAR</t>
  </si>
  <si>
    <t>TBWA KENYA</t>
  </si>
  <si>
    <t>2XTVC'S KENYA AIRLINES</t>
  </si>
  <si>
    <t>10/04/2013 - RECEIVED 2 SCRIPTS FROM TBWA KENYA FOR KENYA AIRLINES , BUDGET $250 000 PER SCRIPT , BRIEF WAS SENT TO DEBBIE AND CHRIS AND I WILL ARRANGE A CONFERENCE CALL WITH AGENCY ON THURSDAY</t>
  </si>
  <si>
    <t>ARRANGE CONFERENCE CALL WITH AGENCY ON THURSDAY</t>
  </si>
  <si>
    <t xml:space="preserve">CYBERSTROBE </t>
  </si>
  <si>
    <t>QUOTED ON A NEW CASINO JOB</t>
  </si>
  <si>
    <t>JWT - ADAMS ADVERTISING</t>
  </si>
  <si>
    <t>SEPT 2012 REFONA BOARDS(UNILVER) AWAITING APPROVAL---WILL TAKE A LONG TIME STILL</t>
  </si>
  <si>
    <t>SPOKE WITH ERIC HE SAID IT LOOK LIKE ONLY HAPPENING NEXT YEAR AMD WE SHOULD CALL JAN/FEB TO FOLLOW UP</t>
  </si>
  <si>
    <t>CONTACT FOR WORK IN THE PIPELINE</t>
  </si>
  <si>
    <t>SEPT 2012: MOST BUG TVC'S DONE IN DURBAN BUT THEY DO DO SMALLERS LOCAL TVCS AND DOCCIS----MUST REGISTER AS A SUPPLIERS</t>
  </si>
  <si>
    <t>CALL TO FIND OUT WHAT THE PROGRESS IS ON OUR VENDOR APPLICATION---THIS IS NOW UERGENT AS THEIR NEW BUDGETS HAVE COME INTO PLAY</t>
  </si>
  <si>
    <t>SPOKE WITH RUEBEN AND MENTIONED WE MISSED HIM AT HIS OFFICES,HE HAS ADVISED THAT WE MUST COME AND SEE HIM EARLY NEXT YEAR AS THEY ARE CLOSING DOWN,HE ALSO APPOLOGISED FOR NOT BEING AT THE MEETING.</t>
  </si>
  <si>
    <t>FEB 2013---HAVE TVC COMING UP</t>
  </si>
  <si>
    <t>KEYSTONE BANK</t>
  </si>
  <si>
    <t>FEB 2013: WILL RUN A CAMPAIGN IN 2ND QUARTER</t>
  </si>
  <si>
    <t>KEEP IN TOUCH WILL ADEOLA WITH REGARDS TO NEW CAMPAIGN</t>
  </si>
  <si>
    <t>FEB 2013:YVC IN THRID QUARTER FOR THE  LAUNCH OF BISCUIT(EX DISTELL)</t>
  </si>
  <si>
    <t>14/02/2013 - WENT AND MET WITH EMEKA AND DOLAPO THEIR MARKETING MANAGER WHO IS EX 141 , SHE HAS ADVISED THAT X3M ARE DOING THEIR CANDY BRANDS AND THAT NOAHS ARK IS DOING THEIR ENERGEN CEREAL BRAND WHICH IS ONE OF THEIR MAIN BRANDS . THEY HAVE TV WORK COMING UP IN THE NEAR FUTURE AND WE SHOULD DEAL WITH THEIR AGENCIES . THEIR COMPANY IS INDONESIAN AND ARE EXPANDING QUITE RAPIDLY IN NIGERIA .</t>
  </si>
  <si>
    <t>MUST DEAL WITH NOAKS ARK ON CEREAL BRANDS AND X3M ON CANDY</t>
  </si>
  <si>
    <t>INK BRAND</t>
  </si>
  <si>
    <t>AMAZON ENERGY</t>
  </si>
  <si>
    <t>NOT DONE TV YET BUT ARE PLANNING TO DO---TVC AND CORPORATE DVD</t>
  </si>
  <si>
    <t xml:space="preserve">12/02/2013 CALLED AND SPOKE WITH BADEMOSI , HE ADVISED THAT THEY HAVE NOT DECIDED ON ANY TV OR CORPORATE WORK FOR THE YEAR YET AND DOUBT WHETHER THEY WILL . HE HAS OUR CONTACT aND WILL LET US KNOW IF THEY CHANGE THEIR MINDS </t>
  </si>
  <si>
    <t>ARIZONA GROUP</t>
  </si>
  <si>
    <t>APRIL 2013: TVC FOR BLUE JEANS LATER THIS YEAR/JOINT VENTURE WITH THEM/CENTENARY VIA DDB</t>
  </si>
  <si>
    <t>02/05/2013 - MET WITH THE CONSORTIUM AT THE ARIZONA OFICES AND THEY ARE BUSY WORKING ON THE MOU . DEBBIE TO SEND BASIL AND GERRIT THE MAIL TO CONFIRM MEETING WITH AIRTEL CHAIRMAN AND UNILEVER DUBAI</t>
  </si>
  <si>
    <t>BAGCO</t>
  </si>
  <si>
    <t>OCT 2012 :TVC QUOTED VIA PRIMA GARNET</t>
  </si>
  <si>
    <t>17.04.2013 STEVEN WE WILL ONLY BE BRIEFING 2 AGENCIES IN ABOUT A MONTH REGARDING A TVC. PLEASE SPEAK WITH PRIMA GARNET &amp; INSIGHT IN ABOUT 1 MONTH, WE PREFER THAT YOU DEAL DIRECTLY WITH THE AGENCIES AND NOT WITH US.</t>
  </si>
  <si>
    <t xml:space="preserve">BLUE JEANS  </t>
  </si>
  <si>
    <t>DEC 2012: 3X BLUE JEANS TVC'S TO BE DONE IN FIRST 3 MONTH OF 2103</t>
  </si>
  <si>
    <t>22/10/2012 MET WITH GERRIT AND PIERRE ON BLUE JEANS . THEY HAVE 3 TV ADS THAT THEY WANT TO HAVE DONE ,THE ADS THEY SHOT IN GHANA WERE A BIT OF A MESS AND THERE WAS SERIOUS DELAYS WITH POST THEY SAID . THEY ARE STILL BUSY CONCEPTUALISING THE NEW ADS , AND BRIEF SHOULD BE OUT IN A WEEK . GERRIT WILL HELP ARRANGE ANOTHER MEETING WITH BASIL HIS BUSINESS PARTNER AND ALSO ONE OF THE BLUE JEANS OWNERS . THEY WILL PROVIDE US WITH A BUDGET AS WELL . GERRIT SAID TO CALL HIM AGAIN ON TUESDAY TO CONFIRM THE MEETING WITH BASIL</t>
  </si>
  <si>
    <t xml:space="preserve">CADBURY </t>
  </si>
  <si>
    <t>FEB 2013: SOME TOM TOM WORK LATER IN THE YEAR AND QUOTED ON A TANG RAMADA TVC</t>
  </si>
  <si>
    <t>8/4/2013 SEND BOURNVITA ANIMATION UPDATES FOR APPROVAL EVERY 3RD DAY......./......FOLLOW UP ON QUOTES...../...FOLLOW UP ON TOM TOM JINGLE AND TANG GHANA USAGE PAYMENTS</t>
  </si>
  <si>
    <t>CENTURION GATES NIGERIA</t>
  </si>
  <si>
    <t>NOV 2012: AUTOMATED GATE TVC---LEAD FROM HENRY MEYER EX DSTV NIGERIA---BUDGET R120,000--YEAR 2013</t>
  </si>
  <si>
    <t>09/04/2013  CALLED AND SPOKE WITH ADEMOLA AND BRANDON , THEY HAVE ADVISED THAT ARE LOOKING AT RUNNING THEIR TVC BY END SEPT , SO THEY ARE NOW ONLY LOOKING AT SHOOTING BY AUGUST . THEY WILL DEFINITELY BE DOING A TVC AND IT WILL RUN FOR PAN AFRICA . THEY SAID THEY ARE WORKING ON A BRIEF AND WILL HAVE THIS BY US BY END OF APRIL</t>
  </si>
  <si>
    <t>COBRANET</t>
  </si>
  <si>
    <t>APRIL 2013: PLANNING TO DO A TVC IN AUGUST</t>
  </si>
  <si>
    <t>26.04.2013 CAHTRU - THEY ARE WANTING TO DO A TVC IN AUGUST, HE ASKED ME TO SEND HIM INFO ON VL &amp; THEN I CAN FOLLOW UP</t>
  </si>
  <si>
    <t>DAJCOM</t>
  </si>
  <si>
    <t>07/02/2013 WENT TO MEET WITH SERGE AT DAJOM , DAJCOM IS PART OF SAMSUNG . GOT TO MEETING ONLY TO BE ADVISED THAT SERGE HAD TO TRAVEL OUT OF TOWN AND COULD NOT MAKE IT ANYMORE . HE THEN MAILED QUINTIN AND DEBBIE TO APOLOGISE FOR THE LATE CANCELLATION AND WILL RESCHEDULE</t>
  </si>
  <si>
    <t>NOV 2012 : NEW TVC WITHIN THE NEXT 2 MONTHS</t>
  </si>
  <si>
    <t>DIAMOND BANK</t>
  </si>
  <si>
    <t>JOB IS IN PREPRODUCTION--CHASE AGENCT FOR DEPOIST PAYMENT AND TRACK PROGRESS ON JOB</t>
  </si>
  <si>
    <t xml:space="preserve">DIGIBRANDS </t>
  </si>
  <si>
    <t>HERITAGE TVC</t>
  </si>
  <si>
    <t>29/3/2013 FOLLOW UP ON QUOTE</t>
  </si>
  <si>
    <t xml:space="preserve">ENGEN </t>
  </si>
  <si>
    <t>TRAINING DVDS ON FORCOURT TRAINING</t>
  </si>
  <si>
    <t>14/05/2013 ANDREW - WE WILL GET THE REVISED SCRIPTS IN ABOUT 3 WEEKS</t>
  </si>
  <si>
    <t>GREY ADVERTISING JOBURG</t>
  </si>
  <si>
    <t>TIGO ACCOUNT</t>
  </si>
  <si>
    <t xml:space="preserve">10/04/2013 WE NEED TO SET UP A MEETING FOR JOBURG TRIP TO DISCUSS SHOOTING THEIR TVC'S FOR AFRICA </t>
  </si>
  <si>
    <t>HEINEKIN</t>
  </si>
  <si>
    <t>14/2/2013---RECEIVED EMAIL FROM VLAD ADVISING THAT HE IS BRIEFING AGENCY ON NEW TVC AND THAT WE SHOULD HAVE THE BOARDS IN THE FIRST WEEK IN MARCH FOR COSTING AND TREATMENT...JOB MUST BE COMPLETED 2ND WEEK OF APRIL</t>
  </si>
  <si>
    <t>INGRID STRAUSS  FREELANCE--EX ARIZONA(CAN ALSO PRODUCE?)</t>
  </si>
  <si>
    <t>MARCH 2013---LA CASERA APPLE JUICE--MIGHT BE A NEW TVC AND RESHOOTING OF SECTIONS OF THE OLD TVC</t>
  </si>
  <si>
    <t>21/03/2013 - WENT AND MET WITH INGRID TO GET FEEDBACK AND TAKE BRIEF ON THE LA CASERA TVC THAT HER CLIENT NEEDS TO HAVE DONE . WE WILL NEED TO DO ANIMATION FOR THE TVC . HAVE TAKEN BRIEF AND SENT TO DURAND FOR COSTING . THE LAST TVC WAS SHOT BY BLUE JEANS IN SA , BUT SHE WANTS TO WORK WITH US ON THIS ONE AND WE ARE TE ONLY GUYS QUOTING ON THE JOB</t>
  </si>
  <si>
    <t>LG NIGERIA</t>
  </si>
  <si>
    <t>09/05/2013 - WENT AND MET WITH PAUL MBA AT LG , HE SAID THAT HE WAS ACTUALLY PART OF THE LAST LG SHOOT WE DID FOR THE LG ANTI MOSQUITO AIRCONS. HE SAID THAT THEIR ACCOUNT FOR BELOW THE LINE AS WELL AS ABOVE THE LINE HAS GONE TO NOVELPOTTA Y&amp;R , THAT IS FOR HOME APPLIANCES , ELECTRONICS AND HOME ENTERTAINMENT. SOME OF THEIR TV COMES FROM THE HQ AND GETS BROADCAST GLOBALLY . HOWEVER THEY ARE LOOKING AT DOING 7 TVC'S FOR THEIR FLAGSHIP LOCAL PRODUCTS AT THE END OF THE YEAR. PAUL SAID HE WOULD DEFINATELY LOOK AT WORKING WITH US AGAIN AND WILL GIVE US THE HEADS UP AS SOON AS BRIEF GOES TO AGENCY . THIS WIL ONLY BE LATER IN THE YEAR THOUGH.</t>
  </si>
  <si>
    <t>MAY 2013:PAUL: WILL DO 7 TVC  FOR THEIR LOCAL FLAGSHIP BRANDS AT THE END OF THE YEAR</t>
  </si>
  <si>
    <t>L'OREALWEST AFRICA</t>
  </si>
  <si>
    <t>19/04/2013 - ROSABEL THEIR AGENCY HAS ADVISED THAT THEY ARE WAITING FOR FEEDBACK FROM THE PARIS OFFICE ON THE WAY FORWARD FOR THEIR ACTIVATIONS AND TV WORK</t>
  </si>
  <si>
    <t>JAN 2013: LAUNCHING DARK&amp;LOVELY SHAMPOO AND HAIR COLOUR IN THE NEXT 3 MONTHS</t>
  </si>
  <si>
    <t>METROPOLITAN REPUBLIC UGANDA</t>
  </si>
  <si>
    <t>10/4/2013: DEPOSIT HAS BEEN RECEIVED AND CREW FLIES THIS SATURDAY TO UGANDA TO SHOOT</t>
  </si>
  <si>
    <t>MTN CRANES TVC</t>
  </si>
  <si>
    <t xml:space="preserve">MIKANO </t>
  </si>
  <si>
    <t>16.4.2013: VIKAS : THEY MIGHT PLAN TO DO A TVC AT THE END OF THE YEAR BUT NO PLANS AT ALL FOR NOW</t>
  </si>
  <si>
    <t>MMRS OGILVY GHANA</t>
  </si>
  <si>
    <t xml:space="preserve">AIRTEL , SAB MILLER </t>
  </si>
  <si>
    <t>04.12.2012 UPDATED CONTACT SHEETS WITH NEW CONTACT NAMES AND DETAILS AND PUT INTO NEW FORMAT AS WELL</t>
  </si>
  <si>
    <t>17.05.2013 CELINE - COULD NOT ACCESS HER MAILS WHILE SHE WAS AWAY, SHE ONLY MAILED ME TODAY HOPING FOR US TO STILL SHOOT TOADY, AS THE TREE PLANTING IS HAPPENNING TODAY. I NEEDED THE DOCS ON MORE DETAIL TO DO A QUOTE, ITS TO LATE NOW FOR TO QUOTE TODAY GET PAYMENT AND START THE JOB.</t>
  </si>
  <si>
    <t>MONACOM</t>
  </si>
  <si>
    <t>ACCOUNT TO GO UP FOR PITCH IN 4TH QUARTER</t>
  </si>
  <si>
    <t>25/04/2013 - WENT AND MET WITH DAVID AND FOLUSO THE DIRECTOR OF MARKETING AND OPERATIONS AND CHIEF OPERATING OFFICER AT MONACOM THEY ARE A TELECOMMS OPERATOR AND FIXED LINE OPERATOR THAT PROVIDE DATA AND BROADBAND TO CORPORATE ENTERPRISES AND BUSINESS TO BUSINESS SOLUTIONS THEY DO ADVERTISE AND WERE USING PRIMA GARNET OGILVY AS AN AGENCY . THEY HOWEVER NEVER DID THE TV WORK WE QUOTED ON TO DATE AS THEY HAVE RESTRUCTURED AND THEIR ACCOUNT WILL GO UP FOR PITCH BY THE 4TH QUARTER AS THEY HAVE DITCHED THE AGENCY. LEFT THE WITH OUR REEL AND THEY SAID THAT THEY WILL ADVISE WHEN THEY ARE READY TO START ADVERTISNG AGAIN SO WE CAN HAVE AN OPPERTUNITY TO PITCH. THEY DONT SEEM LIKE A BIG COMPANY THOUGH YET AS THEIR OFFICES ARE DINGY.</t>
  </si>
  <si>
    <t>MORINGA OGILVY</t>
  </si>
  <si>
    <t>AIRTEL THEMATICS TO BE SHOT BY MARCH</t>
  </si>
  <si>
    <t>UGANDA</t>
  </si>
  <si>
    <t>27/2/2013 MAKE CONTACT FOR WORK IN THE PIPELINE</t>
  </si>
  <si>
    <t>N0SAK GROUP</t>
  </si>
  <si>
    <t>MARCH 2013; WILL ONLY DO TVC IN THIRD AND FOURTH QUARTER</t>
  </si>
  <si>
    <t>CHIDI - THEY STILL WANT TO DO A TVC THIS YEAR, BUT IT DEPENDS ON CASH FLOW. IF THEY DO TVC IT WILL BE MUCH LATER THIS YEAR AT THE MOMENT THEY DON’T HAVE THE CASH. ANY DECISION WOULD HAVE TO BE APPROVED BY THE BOARD.</t>
  </si>
  <si>
    <t>NOW AVAILABLE AFRICA</t>
  </si>
  <si>
    <t>MAY 2013: HAVE 2-3 TVCS COMING UP FOR PZ CUZZONS</t>
  </si>
  <si>
    <t>PAN OCEAN OIL NIGERIA</t>
  </si>
  <si>
    <t>MAY 2013: MIGHT NEED AN INDUCTION DVD IN THE FUTURE</t>
  </si>
  <si>
    <t>08.05.2013 EDITH - THEY DON’T HAVE A MARKETING DEPARTMENT. THEY DON’T NEED TO MARKET THEIR PRODUCT TO THE PUBLIC. THEY DON’T NEED TVC, THEY MIGHT ONLY NEED CORPORATE DVD OR INDUCTION IN THE FUTURE BUT NOTHING FOR THE MOMENT, SHE ASKED ME TO MAIL HER OUR DETAILS FOR FUTURE REFERENCE</t>
  </si>
  <si>
    <t>POD JOBURG</t>
  </si>
  <si>
    <t>FOOD CONCEPTS - CHICKEN REPUBLIC</t>
  </si>
  <si>
    <t>08.05.2013 VANESSA - THERE IS NO PLANS FOR TVC FOR FOOD CONCEPTS AT ALL</t>
  </si>
  <si>
    <t>08.05.2013 ANTHONY - THEY WILL LOOK AT DOING A TVC AT THE BEGINNING OF 2014, THEY DON’T HAVE AN AGENCY NOW</t>
  </si>
  <si>
    <t>COCA COLA TVC , BAGCO TVC , AIRTEL TVC</t>
  </si>
  <si>
    <t>08/05/2013 -  WE HAVE MANAGED TO GET THE COKE PRODUCTION INTO SWING ONLY TO BE TOLD THAT THE CLIENT NOW CAN ONLY SHOOT IN 2 WEEKS AS THEY HAVE A CONFERENCE. SO WE HAVE HAD ANOTHER SCHEDULE APPROVED BY ALL WHICH ALSO MEANS WE HAVE MORE TIME TO PREP . MARSHANT AND FUNKE ARE ALSO BUSY SORTING OUT CAST</t>
  </si>
  <si>
    <t xml:space="preserve"> 17.05.2012 TAYSHIRA &amp; TUNJI HAVE LEFT RIM, TRUDY SMITH IN SOUTH AFRICA IS NOW HEAD FO MARKETING FOR WEST AFRICA, I HAVE MAILED HER</t>
  </si>
  <si>
    <t>SAB MILLER NIGERIA</t>
  </si>
  <si>
    <t>FEB 2012: TROPHY LAGER TVC AND GRAND LARGER LATER IN THE YEAR</t>
  </si>
  <si>
    <t>17.05.2012 BARNABAS WILL MAIL ME THE CONTACT DETAILS FOR SOLATEMI THE NEW MARKETING MANAGER FOR SAMSUNG</t>
  </si>
  <si>
    <t>23.04.2013 NEW MARKETING MANAGER IS ONOMOE. THEY ONLY DO ADAPTIONS FROM INTERNATIONAL TVC FOR NIGERIA, THE ADAPTIONS ARE DONE INTERNATIONALLY BY BBDO &amp; NOT BY BBDO IN NIGERIA. I HAVE MAILED HER MY DETAILS FOR FUTURE REFERENCE.</t>
  </si>
  <si>
    <t>SCOA FOODS</t>
  </si>
  <si>
    <t>APRIL 2013: SANGIV: DO WANT TO DO A TVC BUT DOES NOT HAVE AN AGENCY</t>
  </si>
  <si>
    <t>PEPSI</t>
  </si>
  <si>
    <t>NOV 2012---HAVE JUST BEEN ASKED TO DO A QUOTE FOR 7UP PROMO VIA INSIGHT</t>
  </si>
  <si>
    <t>23.04.2013 SPOKE WITH RAPHAEL - THEY DO HAVE PLANS FOR TVC LATER ON IN THE YEAR, BUT PLEASE DEAL WITH OUR AGENCY INSIGHT. HE ASKED TO MAIL HIM SO HE HAS ALL MY CONTACT DETAILS</t>
  </si>
  <si>
    <t>20.05.2013 SILINDILE HAD NOT RECEIVED MY MAIL, MY ADDRESS FOR HER WAS WRONG I HAVE RESENT MY MAIL AND CAN FOLLOW UP TOMORROW</t>
  </si>
  <si>
    <t>24.04.2012 UFOT - AS A DEPARTMENT THEY ARE STRUGGLING TO GET APPROVAL FOR BUDGET, SO THEY CANT BRIEF ANYONE. HE SAYS THEY NEED TO DO A NEW TVC FOR CNN BUT IT IS GOING TO TAKE SOME TIME BEFORE THEIR BUDGET IS APPROVED, HE SAYS WE SHOULD KEEP REGULAR CONTACT HE HAS NO IDEA WHEN IT WILL BE APPROVED</t>
  </si>
  <si>
    <t>MAY 2013: ETISALAT FASTER THAN YOU EDIT : N950,750.00</t>
  </si>
  <si>
    <t>20/5/2013: DURAND SENT TUNDE A QUOTE</t>
  </si>
  <si>
    <t>20/5/2013</t>
  </si>
  <si>
    <t>20/5/2013: FIRST BANK BUSINESS TO BUSIINES(REVISED SCRIPT)</t>
  </si>
  <si>
    <t>20/5/2013: EMAILED TUNDE AND ASKED THAT HE SEND ME THE BOARDS SO I CAN ARRANGE A QUOTE</t>
  </si>
  <si>
    <t>24/05/2013</t>
  </si>
  <si>
    <t>20/5/2013: RECEIVED AN EMAIL FROM GERALD ADVISING THAT WE WILL HAVE A PO BY THE END OF THIS WEEK</t>
  </si>
  <si>
    <t>DANGOTE</t>
  </si>
  <si>
    <t>APRIL 2013: DANGOTE INTERNATIONAL DOCCI: N89,145,000.00</t>
  </si>
  <si>
    <t>20/5/2013: RECEIVED AN EMAIL FROM ETHAN APOLOGISING FOR TH E DELAY IN THEIR REPLY AND PROMISING TO LOOK AT THE QUOTE AND REVERT TO US</t>
  </si>
  <si>
    <t>09/05/2013 ABIOLA - HE HAS JUST FINISHED A PROPOSAL FOR A TVC THAT HE WANTS TO DO AND WILL BE GIVING IT TO THE BOARD FOR APPROVAL, NO BUDGET EVEN THOUGHT OF OR DISCUSSED WITH THE BOARD YET. THEY STILL DONT HAVE AN AD AGENCY</t>
  </si>
  <si>
    <t>20.05.2013 SHRIDAH - WILL BE MEETING WITH THEIR AGENCY THIS WEEK FOR BRAINSTORMING, I SHOULD CALL HIM THE BEGINNING OF NEXT WEEK, THEY DO PLAN TO DO THE TVC THIS QUARTER</t>
  </si>
  <si>
    <t>14.05.2013 LAWRENCE - THE CASINO ANIMATION TVC FOR INDIA IS STILL ON HOLD THEY HAVE A LOT OF LEGAL ISSUES TO SORT OUT BEFORE SETTING IT UP FOR INDIA. THE COMPANY IS CALLED CASION INDIO</t>
  </si>
  <si>
    <t>16.05.2013 DR DAVID WANTS TO SEE US, HE HAS LOOKED AT OUR SITE HE NEEDS TO CHECK IS SCHEDULE BEFORE WE CAN SCHEDULE A MEETING CALLING HIM AGAIN IN ABOUT A WEEK</t>
  </si>
  <si>
    <t>16.05.2013 MISS CHARITY - THEY ARE RELEASING A NEW PRODUCT SHORTLY &amp; WILL NEED A TVC FOR THE NEW PRODUCT, THEY STILL HAVE NO AGENCY. APPOINTMENT CONFIRMED FOR TUESDAY 4TH OF JUNE AT 12:00. CHARITY NOW MOVED IT TO 14:00</t>
  </si>
  <si>
    <t>13.05.2013 LARRY - THEY HAVE NO PLANS FOR TVC NOW. BUT WILL CALL US IF ANYTHING COMES UP</t>
  </si>
  <si>
    <t>16.05.2013 FOLAKE - THEY HAVE TO MUCH ON BOARD AND CANT TAKE ON THE PROJECT OF A TV SERIES AT THE MOMENT, THEY MIGHT LOOK AT IT LATER IN THE YEAR BUT FOR NOW IT IS NOT A PRIORITY. NO OTHER TVC FOR NOW</t>
  </si>
  <si>
    <t>INTERCONTINENTAL BANK OF GHANA</t>
  </si>
  <si>
    <t>13.05.2013 MATILDA IS HEAD OF CORPORATE COMMUNICATIONS. MATILDA - THEY ARE CURRENTLY DO REBRANDING ONCE THAT IS SORTED OUT THEY WILL LOOK AT TVC, SHE CANT SAY WHEN THAT WILL BE BUT IT WILL BE LATER IN THE YEAR. THEIR AGENCY IS NOW AVAILABLE AFRICA</t>
  </si>
  <si>
    <t>MAIN STREET BANK</t>
  </si>
  <si>
    <t>TVC COMING UP LATER IN THE YEAR</t>
  </si>
  <si>
    <t>20.05.2013 OGECHI - IT IS PREMATURE FOR US TO MEET WITH HER AS THEY DON’T KNOW WHEN THEY PLAN ON DOING THEIR TVC OR WHICH QUARTER THEY WILL EVEN DO IT IN. SHE RECOMMENDED I CONTACT AGAIN IN ABOUT A MONTH</t>
  </si>
  <si>
    <t>16.05.2013 GABRIEL - THEY CAN SCHEDULE A MEETING FOR TUESDAY 4 JUNE AT 12:00 TO MEET WITH THE NEW HEAD OF MARKETING CHUKUKA. GABRIEL WILL STILL CONFIRM WITH CHUKUKA. GABRIEL WILL STILL HAVE TO COME BACK TO ME ON MIMMEE NOODLES/PANADOL AND VITAMIN BRANDS TVC</t>
  </si>
  <si>
    <t>20.05.2013 DANIEL - DOES NOT BELIEVE THEY HAVE A NEED FOR TVC, BUT MR GROVER IS MARKETING DIRECTOR CANT REACH HIS MOBILE. DANIEL SAID HE CAN ONLY RECOMMEND WE MAIL MAIL MR GOVER WHICH I HAVE DONE A FEW TIMES</t>
  </si>
  <si>
    <t>14.05.2013 DEVOE - THEIR POSITION HAS NOT CHANGED THEY STILL DON’T HAVE BUDGET APPROVED FOR TVC, THIS MIGHT ONLY CHANGE AFTER JULY</t>
  </si>
  <si>
    <t>16.05.2013 ONYEKACHI HAS CONFIRMED FOR WED 5TH JUNE AT 10:00</t>
  </si>
  <si>
    <t>14.05.2013 HAVE REQUESTED A MEETING WITH FREDDIE FOR 13 JUNE AT 10:00 TBC</t>
  </si>
  <si>
    <t>09.05.2013 GIL - YES WE HAVE TVC COMING UP, PLEASE SEND ME A MAIL WITH YOUR DETAILS, MY CREATIVE DIRECTOR WILL HAVE A LOOK AT YOUR WORK ON YOUR SITE</t>
  </si>
  <si>
    <t>14.05.2013 REBA - MR GOLDSMITH IS OUT OF NIGERIA, THEY DO PLAN ON DOING A TVC, SHE CANT SAY WHEN THOUGH, THEY DON’T HAVE AN AGENCY THEY USE AN INTERNAL AGENCY. SHE SAID MAIL HER AND MR GOLDSMITH AS ONLY HE CAN GIVE PROPER FEEDBACK REGARDING THE TVC</t>
  </si>
  <si>
    <t>20.05.2013 MUZI IS FINALSING HIS DOCUMENT HE WILL TRY GET IT TO ME BY TOMORROW</t>
  </si>
  <si>
    <t>PRIMUS ADVERTISING GHANA LTD</t>
  </si>
  <si>
    <t>POTENTIAL TVC, AGENCY HAS PROPOSALS OUT</t>
  </si>
  <si>
    <t>15.05.2013 GIDEON - CREATIVE DIRECTOR - WE HAVE A NUMBER OF PROPOSALS OUT FOR TVC, NOTHING HAS COME IN YET, HE ASKED ME TO MAIL HIM OUR DETAILS</t>
  </si>
  <si>
    <t>15.05.2013 KEVIN THEY MIGHT LOOK AT TVC IN THE LAST QUARTER OF THE YEAR</t>
  </si>
  <si>
    <t>14/05/2013 QUAISER WAS NOT AVAILABLE I HAVE MAILED HIM FOR AN APPOINTMENT FOR MONDAY 3 JUNE AT 10:00 TBC</t>
  </si>
  <si>
    <t>14.05.2012 ALI NOT AVAILABLE SHE IS FREE LANCING WHILE LEE ANNE IS AWAY ON MATERNITY LEAVE. CANDICE HAS ALSO LEFT SAATCHI. HAVE MAILED ALI</t>
  </si>
  <si>
    <t>17.05.2012 SANGIV IS IN INDIA &amp; WILL ONLY RETURN AT THE END OF THE MONTH. RECPETION SUGGESTS I MAIL HIM AS HE IS THE ONLY ONE RESPONSIBLE FOR TVC</t>
  </si>
  <si>
    <t>13.05.2013 KING JAMES IS NOT THEIR AGENCY IT IS HAAS IN CAPE TOWN. THEY ARE CURRENTLY ONLY DOING TVC FOR S.A AND WILL NOT CONSIDER TVC FOR SPUR FOR AFRICA FOR VERY LONG TIME. SPUR IS THEIR ONLY CLIENT THAT DOES TVC</t>
  </si>
  <si>
    <t>17.05.2013 FRANCES - HE CANT GIVE ME A TIME LINE AND NO PLANS HAVE BEEN LAID DOWN YET. VERY ROUGHLY THEY WOULD LIKE TO DO A TVC EITHER 3RD OR 4TH QUARTER BUT NOTHING CONCRETE</t>
  </si>
  <si>
    <t>16.05.2013 HAVE SPOKEN TO HOLDING COMPANY IN INDIA, HEAD OF MARKETING IS TRAVELLING I HAVE MAILED HIM FOR TVC IN NIGERIA</t>
  </si>
  <si>
    <t>VERDEANT ZEAL</t>
  </si>
  <si>
    <t>17.05.2013 LANRE - THEY HAVE A TVC COMING UP HE CANT TELL ME WHO THE CLIENT IS, HE WANTS US TO SEND HIM SOME OF OUR LATEST BEST TVC SO HE CAN SHOW THE CLIENT. HE HAS CONFIRMED AN APP FOR MONDAY 10TH OF JUNE AT 10:00</t>
  </si>
  <si>
    <t>Y&amp;R GHANA</t>
  </si>
  <si>
    <t>TVC COMIN GUP IN 2 MONTHS</t>
  </si>
  <si>
    <t>14.05.2013ASIDU - THEY MIGHT HAVE A TVC COMING UP FOR ONE OF THEIR CLIENTS IN ABOUT 2 MONTHS, BUT NOTHING IS CERTAIN YET</t>
  </si>
  <si>
    <t>17.05.2013 EVA IN MEETINGS, THE EMAIL I HAD FOR HER WAS INCORRECT. I HAVE THE CORRECT ONE &amp; HAVE MAILED HER</t>
  </si>
  <si>
    <t>14.05.2012 HAVE MAILED CUSTOMER CARE AND H/O CANT REACH ANY OF THEIR LANDLINES</t>
  </si>
  <si>
    <t>TVC LATER IN THE YEAR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</si>
</sst>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 &quot;R&quot;\ * #,##0.00_ ;_ &quot;R&quot;\ * \-#,##0.00_ ;_ &quot;R&quot;\ * &quot;-&quot;??_ ;_ @_ "/>
    <numFmt numFmtId="43" formatCode="_ * #,##0.00_ ;_ * \-#,##0.00_ ;_ * &quot;-&quot;??_ ;_ @_ "/>
    <numFmt numFmtId="164" formatCode="_ &quot;$&quot;\ * #,##0.00_ ;_ &quot;$&quot;\ * \-#,##0.00_ ;_ &quot;$&quot;\ * &quot;-&quot;??_ ;_ @_ "/>
    <numFmt numFmtId="165" formatCode="_ * #,##0_ ;_ * \-#,##0_ ;_ * &quot;-&quot;??_ ;_ @_ "/>
    <numFmt numFmtId="166" formatCode="_ &quot;R &quot;* #,##0.00_ ;_ &quot;R &quot;* \-#,##0.00_ ;_ &quot;R &quot;* \-??_ ;_ @_ "/>
  </numFmts>
  <fonts count="47" x14ac:knownFonts="1">
    <font>
      <sz val="11"/>
      <color theme="1"/>
      <name val="Calibri"/>
      <family val="2"/>
      <scheme val="minor"/>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1"/>
      <color indexed="8"/>
      <name val="Calibri"/>
      <family val="2"/>
    </font>
    <font>
      <sz val="10"/>
      <name val="Arial"/>
      <family val="2"/>
    </font>
    <font>
      <sz val="9"/>
      <name val="Arial"/>
      <family val="2"/>
    </font>
    <font>
      <sz val="11"/>
      <name val="Calibri"/>
      <family val="2"/>
    </font>
    <font>
      <sz val="10"/>
      <color indexed="8"/>
      <name val="Arial"/>
      <family val="2"/>
    </font>
    <font>
      <sz val="9"/>
      <color indexed="8"/>
      <name val="Arial"/>
      <family val="2"/>
    </font>
    <font>
      <sz val="11"/>
      <color indexed="8"/>
      <name val="Calibri"/>
      <family val="2"/>
    </font>
    <font>
      <b/>
      <sz val="10"/>
      <name val="Arial"/>
      <family val="2"/>
    </font>
    <font>
      <sz val="10"/>
      <color indexed="10"/>
      <name val="Arial"/>
      <family val="2"/>
    </font>
    <font>
      <sz val="14"/>
      <color indexed="8"/>
      <name val="Arial Black"/>
      <family val="2"/>
    </font>
    <font>
      <sz val="12"/>
      <color indexed="8"/>
      <name val="Arial"/>
      <family val="2"/>
    </font>
    <font>
      <b/>
      <sz val="10"/>
      <color indexed="8"/>
      <name val="Arial"/>
      <family val="2"/>
    </font>
    <font>
      <u/>
      <sz val="11"/>
      <color indexed="12"/>
      <name val="Calibri"/>
      <family val="2"/>
    </font>
    <font>
      <sz val="10"/>
      <color indexed="8"/>
      <name val="Arial"/>
      <family val="2"/>
    </font>
    <font>
      <b/>
      <sz val="8"/>
      <color indexed="8"/>
      <name val="Arial"/>
      <family val="2"/>
    </font>
    <font>
      <b/>
      <sz val="8"/>
      <name val="Arial"/>
      <family val="2"/>
    </font>
    <font>
      <b/>
      <sz val="8"/>
      <color indexed="8"/>
      <name val="Calibri"/>
      <family val="2"/>
    </font>
    <font>
      <b/>
      <sz val="8"/>
      <color indexed="8"/>
      <name val="Calibri"/>
      <family val="2"/>
    </font>
    <font>
      <b/>
      <sz val="10"/>
      <color indexed="8"/>
      <name val="Arial Black"/>
      <family val="2"/>
    </font>
    <font>
      <sz val="10"/>
      <color indexed="8"/>
      <name val="Arial Black"/>
      <family val="2"/>
    </font>
    <font>
      <sz val="8"/>
      <color indexed="8"/>
      <name val="Calibri"/>
      <family val="2"/>
    </font>
    <font>
      <sz val="8"/>
      <name val="Calibri"/>
      <family val="2"/>
    </font>
    <font>
      <b/>
      <sz val="8"/>
      <color indexed="8"/>
      <name val="Calibri"/>
      <family val="2"/>
    </font>
    <font>
      <sz val="11"/>
      <color indexed="8"/>
      <name val="Calibri"/>
      <family val="2"/>
    </font>
    <font>
      <sz val="10"/>
      <color indexed="8"/>
      <name val="Calibri"/>
      <family val="2"/>
    </font>
    <font>
      <sz val="10"/>
      <color indexed="8"/>
      <name val="Calibri"/>
      <family val="2"/>
    </font>
    <font>
      <b/>
      <sz val="11"/>
      <color indexed="8"/>
      <name val="Calibri"/>
      <family val="2"/>
    </font>
    <font>
      <b/>
      <sz val="8"/>
      <color indexed="8"/>
      <name val="Arial"/>
      <family val="2"/>
    </font>
    <font>
      <sz val="9"/>
      <color indexed="81"/>
      <name val="Tahoma"/>
      <family val="2"/>
    </font>
    <font>
      <b/>
      <sz val="9"/>
      <color indexed="81"/>
      <name val="Tahoma"/>
      <family val="2"/>
    </font>
    <font>
      <b/>
      <sz val="10"/>
      <color indexed="8"/>
      <name val="Calibri"/>
      <family val="2"/>
    </font>
    <font>
      <sz val="12"/>
      <color indexed="8"/>
      <name val="Arial Black"/>
      <family val="2"/>
    </font>
    <font>
      <sz val="10"/>
      <color indexed="8"/>
      <name val="Calibri"/>
      <family val="2"/>
    </font>
    <font>
      <sz val="8"/>
      <name val="Arial"/>
      <family val="2"/>
    </font>
    <font>
      <sz val="10"/>
      <name val="Arial"/>
      <family val="2"/>
    </font>
    <font>
      <sz val="11"/>
      <color theme="1"/>
      <name val="Calibri"/>
      <family val="2"/>
      <scheme val="minor"/>
    </font>
    <font>
      <u/>
      <sz val="11"/>
      <color theme="10"/>
      <name val="Calibri"/>
      <family val="2"/>
    </font>
    <font>
      <sz val="10"/>
      <color theme="1"/>
      <name val="Calibri"/>
      <family val="1"/>
      <scheme val="minor"/>
    </font>
    <font>
      <sz val="8"/>
      <color indexed="8"/>
      <name val="Arial"/>
      <family val="2"/>
    </font>
  </fonts>
  <fills count="27">
    <fill>
      <patternFill patternType="none"/>
    </fill>
    <fill>
      <patternFill patternType="gray125"/>
    </fill>
    <fill>
      <patternFill patternType="solid">
        <fgColor indexed="40"/>
        <bgColor indexed="64"/>
      </patternFill>
    </fill>
    <fill>
      <patternFill patternType="solid">
        <fgColor indexed="23"/>
        <bgColor indexed="64"/>
      </patternFill>
    </fill>
    <fill>
      <patternFill patternType="solid">
        <fgColor indexed="10"/>
        <bgColor indexed="64"/>
      </patternFill>
    </fill>
    <fill>
      <patternFill patternType="solid">
        <fgColor indexed="29"/>
        <bgColor indexed="64"/>
      </patternFill>
    </fill>
    <fill>
      <patternFill patternType="solid">
        <fgColor indexed="13"/>
        <bgColor indexed="64"/>
      </patternFill>
    </fill>
    <fill>
      <patternFill patternType="solid">
        <fgColor indexed="19"/>
        <bgColor indexed="64"/>
      </patternFill>
    </fill>
    <fill>
      <patternFill patternType="solid">
        <fgColor indexed="45"/>
        <bgColor indexed="64"/>
      </patternFill>
    </fill>
    <fill>
      <patternFill patternType="solid">
        <fgColor indexed="53"/>
        <bgColor indexed="64"/>
      </patternFill>
    </fill>
    <fill>
      <patternFill patternType="solid">
        <fgColor indexed="17"/>
        <bgColor indexed="64"/>
      </patternFill>
    </fill>
    <fill>
      <patternFill patternType="solid">
        <fgColor indexed="57"/>
        <bgColor indexed="64"/>
      </patternFill>
    </fill>
    <fill>
      <patternFill patternType="solid">
        <fgColor indexed="14"/>
        <bgColor indexed="64"/>
      </patternFill>
    </fill>
    <fill>
      <patternFill patternType="solid">
        <fgColor indexed="36"/>
        <bgColor indexed="64"/>
      </patternFill>
    </fill>
    <fill>
      <patternFill patternType="solid">
        <fgColor indexed="50"/>
        <bgColor indexed="64"/>
      </patternFill>
    </fill>
    <fill>
      <patternFill patternType="solid">
        <fgColor indexed="55"/>
        <bgColor indexed="64"/>
      </patternFill>
    </fill>
    <fill>
      <patternFill patternType="solid">
        <fgColor indexed="9"/>
        <bgColor indexed="64"/>
      </patternFill>
    </fill>
    <fill>
      <patternFill patternType="solid">
        <fgColor indexed="46"/>
        <bgColor indexed="64"/>
      </patternFill>
    </fill>
    <fill>
      <patternFill patternType="solid">
        <fgColor indexed="15"/>
        <bgColor indexed="64"/>
      </patternFill>
    </fill>
    <fill>
      <patternFill patternType="solid">
        <fgColor indexed="60"/>
        <bgColor indexed="64"/>
      </patternFill>
    </fill>
    <fill>
      <patternFill patternType="solid">
        <fgColor indexed="30"/>
        <bgColor indexed="64"/>
      </patternFill>
    </fill>
    <fill>
      <patternFill patternType="solid">
        <fgColor indexed="16"/>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33CC"/>
        <bgColor indexed="64"/>
      </patternFill>
    </fill>
    <fill>
      <patternFill patternType="solid">
        <fgColor rgb="FF339966"/>
        <bgColor indexed="64"/>
      </patternFill>
    </fill>
    <fill>
      <patternFill patternType="solid">
        <fgColor rgb="FF33CC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bottom/>
      <diagonal/>
    </border>
  </borders>
  <cellStyleXfs count="89">
    <xf numFmtId="0" fontId="0" fillId="0" borderId="0"/>
    <xf numFmtId="43" fontId="8" fillId="0" borderId="0" applyFont="0" applyFill="0" applyBorder="0" applyAlignment="0" applyProtection="0"/>
    <xf numFmtId="43" fontId="9"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1" fillId="0" borderId="0" applyFont="0" applyFill="0" applyBorder="0" applyAlignment="0" applyProtection="0"/>
    <xf numFmtId="166" fontId="9" fillId="0" borderId="0" applyFill="0" applyBorder="0" applyAlignment="0" applyProtection="0"/>
    <xf numFmtId="44" fontId="5" fillId="0" borderId="0" applyFont="0" applyFill="0" applyBorder="0" applyAlignment="0" applyProtection="0"/>
    <xf numFmtId="0" fontId="20"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9" fillId="0" borderId="0"/>
    <xf numFmtId="0" fontId="9" fillId="0" borderId="0"/>
    <xf numFmtId="0" fontId="7" fillId="0" borderId="0"/>
    <xf numFmtId="0" fontId="5" fillId="0" borderId="0"/>
    <xf numFmtId="0" fontId="1" fillId="0" borderId="0"/>
    <xf numFmtId="0" fontId="4" fillId="0" borderId="0"/>
    <xf numFmtId="0" fontId="9" fillId="0" borderId="0"/>
    <xf numFmtId="0" fontId="42" fillId="0" borderId="0"/>
    <xf numFmtId="0" fontId="9" fillId="0" borderId="0"/>
    <xf numFmtId="0" fontId="42" fillId="0" borderId="0"/>
    <xf numFmtId="0" fontId="42" fillId="0" borderId="0"/>
    <xf numFmtId="0" fontId="43" fillId="0" borderId="0"/>
    <xf numFmtId="0" fontId="45" fillId="0" borderId="0"/>
    <xf numFmtId="0" fontId="7" fillId="0" borderId="0"/>
    <xf numFmtId="0" fontId="5" fillId="0" borderId="0"/>
    <xf numFmtId="0" fontId="1" fillId="0" borderId="0"/>
    <xf numFmtId="0" fontId="4" fillId="0" borderId="0"/>
    <xf numFmtId="0" fontId="43" fillId="0" borderId="0"/>
    <xf numFmtId="0" fontId="1" fillId="0" borderId="0"/>
    <xf numFmtId="0" fontId="5" fillId="0" borderId="0"/>
    <xf numFmtId="0" fontId="9" fillId="0" borderId="0"/>
    <xf numFmtId="0" fontId="9" fillId="0" borderId="0"/>
    <xf numFmtId="0" fontId="7" fillId="0" borderId="0"/>
    <xf numFmtId="0" fontId="5" fillId="0" borderId="0"/>
    <xf numFmtId="0" fontId="1" fillId="0" borderId="0"/>
    <xf numFmtId="0" fontId="4" fillId="0" borderId="0"/>
    <xf numFmtId="0" fontId="9" fillId="0" borderId="0"/>
    <xf numFmtId="0" fontId="43" fillId="0" borderId="0"/>
    <xf numFmtId="0" fontId="1" fillId="0" borderId="0"/>
    <xf numFmtId="0" fontId="5" fillId="0" borderId="0"/>
    <xf numFmtId="0" fontId="43" fillId="0" borderId="0"/>
    <xf numFmtId="0" fontId="7" fillId="0" borderId="0"/>
    <xf numFmtId="0" fontId="5" fillId="0" borderId="0"/>
    <xf numFmtId="0" fontId="1" fillId="0" borderId="0"/>
    <xf numFmtId="0" fontId="4" fillId="0" borderId="0"/>
    <xf numFmtId="0" fontId="9" fillId="0" borderId="0"/>
    <xf numFmtId="0" fontId="1" fillId="0" borderId="0"/>
    <xf numFmtId="0" fontId="5" fillId="0" borderId="0"/>
    <xf numFmtId="0" fontId="6" fillId="0" borderId="0"/>
    <xf numFmtId="0" fontId="9" fillId="0" borderId="0"/>
    <xf numFmtId="0" fontId="7" fillId="0" borderId="0"/>
    <xf numFmtId="0" fontId="7" fillId="0" borderId="0"/>
    <xf numFmtId="0" fontId="5" fillId="0" borderId="0"/>
    <xf numFmtId="0" fontId="1" fillId="0" borderId="0"/>
    <xf numFmtId="0" fontId="4" fillId="0" borderId="0"/>
    <xf numFmtId="0" fontId="5" fillId="0" borderId="0"/>
    <xf numFmtId="0" fontId="43" fillId="0" borderId="0"/>
    <xf numFmtId="0" fontId="1" fillId="0" borderId="0"/>
    <xf numFmtId="0" fontId="5" fillId="0" borderId="0"/>
    <xf numFmtId="0" fontId="9" fillId="0" borderId="0"/>
    <xf numFmtId="0" fontId="9" fillId="0" borderId="0"/>
    <xf numFmtId="0" fontId="2" fillId="0" borderId="0"/>
    <xf numFmtId="0" fontId="2" fillId="0" borderId="0"/>
    <xf numFmtId="0" fontId="1" fillId="0" borderId="0"/>
    <xf numFmtId="0" fontId="6" fillId="0" borderId="0"/>
    <xf numFmtId="0" fontId="3" fillId="0" borderId="0"/>
    <xf numFmtId="0" fontId="2" fillId="0" borderId="0"/>
    <xf numFmtId="9" fontId="9" fillId="0" borderId="0" applyFont="0" applyFill="0" applyBorder="0" applyAlignment="0" applyProtection="0"/>
    <xf numFmtId="0" fontId="1" fillId="0" borderId="0"/>
    <xf numFmtId="0" fontId="1" fillId="0" borderId="0"/>
    <xf numFmtId="0" fontId="9" fillId="0" borderId="0"/>
    <xf numFmtId="0" fontId="9" fillId="0" borderId="0"/>
    <xf numFmtId="0" fontId="9" fillId="0" borderId="0"/>
  </cellStyleXfs>
  <cellXfs count="369">
    <xf numFmtId="0" fontId="0" fillId="0" borderId="0" xfId="0"/>
    <xf numFmtId="0" fontId="0" fillId="0" borderId="0" xfId="0" applyFill="1"/>
    <xf numFmtId="0" fontId="11" fillId="0" borderId="0" xfId="0" applyFont="1" applyFill="1"/>
    <xf numFmtId="4" fontId="0" fillId="0" borderId="0" xfId="0" applyNumberFormat="1" applyAlignment="1">
      <alignment horizontal="center"/>
    </xf>
    <xf numFmtId="0" fontId="0" fillId="0" borderId="0" xfId="0"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Fill="1" applyAlignment="1">
      <alignment horizontal="center" vertical="center" wrapText="1"/>
    </xf>
    <xf numFmtId="4" fontId="9" fillId="0" borderId="1" xfId="2" applyNumberFormat="1" applyFont="1" applyFill="1" applyBorder="1" applyAlignment="1">
      <alignment horizontal="center" vertical="center" wrapText="1"/>
    </xf>
    <xf numFmtId="165" fontId="9" fillId="0" borderId="1" xfId="2"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4" fontId="0" fillId="0" borderId="0" xfId="0" applyNumberFormat="1" applyAlignment="1">
      <alignment horizontal="center" vertical="center" wrapText="1"/>
    </xf>
    <xf numFmtId="4" fontId="12" fillId="0" borderId="0" xfId="1" applyNumberFormat="1" applyFont="1" applyAlignment="1">
      <alignment horizontal="center" vertical="center" wrapText="1"/>
    </xf>
    <xf numFmtId="4" fontId="13" fillId="0" borderId="0" xfId="1" applyNumberFormat="1" applyFont="1" applyAlignment="1">
      <alignment horizontal="center" vertical="center" wrapText="1"/>
    </xf>
    <xf numFmtId="14" fontId="13" fillId="0" borderId="0" xfId="0" applyNumberFormat="1" applyFont="1" applyFill="1" applyAlignment="1">
      <alignment horizontal="center" vertical="center" wrapText="1"/>
    </xf>
    <xf numFmtId="4" fontId="13" fillId="0" borderId="0" xfId="1" applyNumberFormat="1" applyFont="1" applyFill="1" applyAlignment="1">
      <alignment horizontal="center" vertical="center" wrapText="1"/>
    </xf>
    <xf numFmtId="0" fontId="12" fillId="0" borderId="1" xfId="0" applyFont="1" applyBorder="1" applyAlignment="1">
      <alignment horizontal="center" vertical="center" wrapText="1"/>
    </xf>
    <xf numFmtId="0" fontId="12"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4" fontId="9" fillId="0" borderId="1" xfId="0" applyNumberFormat="1" applyFont="1" applyFill="1" applyBorder="1" applyAlignment="1">
      <alignment horizontal="center" vertical="center" wrapText="1"/>
    </xf>
    <xf numFmtId="0" fontId="9" fillId="0" borderId="1" xfId="0" applyNumberFormat="1" applyFont="1" applyFill="1" applyBorder="1" applyAlignment="1" applyProtection="1">
      <alignment horizontal="center" vertical="center" wrapText="1"/>
      <protection locked="0"/>
    </xf>
    <xf numFmtId="0" fontId="0" fillId="0" borderId="0" xfId="0" applyAlignment="1">
      <alignment horizontal="left" vertical="center" wrapText="1"/>
    </xf>
    <xf numFmtId="0" fontId="0" fillId="3" borderId="1" xfId="0" applyFill="1" applyBorder="1" applyAlignment="1">
      <alignment horizontal="left" vertical="center" wrapText="1"/>
    </xf>
    <xf numFmtId="0" fontId="0" fillId="5" borderId="1" xfId="0" applyFill="1" applyBorder="1" applyAlignment="1">
      <alignment horizontal="left" vertical="center" wrapText="1"/>
    </xf>
    <xf numFmtId="0" fontId="9" fillId="4" borderId="1" xfId="2" applyNumberFormat="1" applyFont="1" applyFill="1" applyBorder="1" applyAlignment="1">
      <alignment horizontal="left" vertical="center" wrapText="1"/>
    </xf>
    <xf numFmtId="0" fontId="10" fillId="6" borderId="1" xfId="2" applyNumberFormat="1" applyFont="1" applyFill="1" applyBorder="1" applyAlignment="1">
      <alignment horizontal="left" vertical="center" wrapText="1"/>
    </xf>
    <xf numFmtId="165" fontId="10" fillId="2" borderId="1" xfId="2" applyNumberFormat="1" applyFont="1" applyFill="1" applyBorder="1" applyAlignment="1">
      <alignment horizontal="left" vertical="center" wrapText="1"/>
    </xf>
    <xf numFmtId="165" fontId="10" fillId="0" borderId="0" xfId="2" applyNumberFormat="1" applyFont="1" applyFill="1" applyBorder="1" applyAlignment="1">
      <alignment horizontal="left" vertical="center" wrapText="1"/>
    </xf>
    <xf numFmtId="0" fontId="12" fillId="0" borderId="0" xfId="0" applyFont="1" applyAlignment="1">
      <alignment horizontal="left" vertical="center" wrapText="1"/>
    </xf>
    <xf numFmtId="165" fontId="10" fillId="7" borderId="1" xfId="2" applyNumberFormat="1" applyFont="1" applyFill="1" applyBorder="1" applyAlignment="1">
      <alignment horizontal="left" vertical="center" wrapText="1"/>
    </xf>
    <xf numFmtId="0" fontId="13" fillId="0" borderId="0" xfId="0" applyFont="1" applyAlignment="1">
      <alignment horizontal="left" vertical="center" wrapText="1"/>
    </xf>
    <xf numFmtId="165" fontId="9" fillId="3" borderId="1" xfId="2" applyNumberFormat="1" applyFont="1" applyFill="1" applyBorder="1" applyAlignment="1">
      <alignment horizontal="center" vertical="center" wrapText="1"/>
    </xf>
    <xf numFmtId="0" fontId="9" fillId="3" borderId="1" xfId="0" applyFont="1" applyFill="1" applyBorder="1" applyAlignment="1">
      <alignment horizontal="left" vertical="center" wrapText="1"/>
    </xf>
    <xf numFmtId="4" fontId="15" fillId="3" borderId="1" xfId="2" applyNumberFormat="1" applyFont="1" applyFill="1" applyBorder="1" applyAlignment="1">
      <alignment horizontal="center" vertical="center" wrapText="1"/>
    </xf>
    <xf numFmtId="0" fontId="9" fillId="3" borderId="1" xfId="0" applyFont="1" applyFill="1" applyBorder="1" applyAlignment="1">
      <alignment horizontal="center" vertical="center" wrapText="1"/>
    </xf>
    <xf numFmtId="4" fontId="12" fillId="3" borderId="1" xfId="1"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4" fontId="12" fillId="0" borderId="0" xfId="0" applyNumberFormat="1" applyFont="1" applyAlignment="1">
      <alignment horizontal="center" vertical="center" wrapText="1"/>
    </xf>
    <xf numFmtId="0" fontId="16" fillId="8" borderId="1" xfId="0" applyFont="1" applyFill="1" applyBorder="1" applyAlignment="1">
      <alignment horizontal="center" vertical="center" wrapText="1"/>
    </xf>
    <xf numFmtId="4" fontId="12" fillId="0" borderId="0" xfId="1" applyNumberFormat="1" applyFont="1" applyBorder="1" applyAlignment="1">
      <alignment horizontal="center" vertical="center" wrapText="1"/>
    </xf>
    <xf numFmtId="0" fontId="13" fillId="0" borderId="0" xfId="0" applyFont="1" applyFill="1" applyBorder="1" applyAlignment="1">
      <alignment horizontal="center" vertical="center" wrapText="1"/>
    </xf>
    <xf numFmtId="4" fontId="12" fillId="0" borderId="0" xfId="1" applyNumberFormat="1" applyFont="1" applyFill="1" applyBorder="1" applyAlignment="1">
      <alignment horizontal="center" vertical="center" wrapText="1"/>
    </xf>
    <xf numFmtId="4" fontId="12" fillId="0" borderId="0" xfId="0" applyNumberFormat="1" applyFont="1" applyBorder="1" applyAlignment="1">
      <alignment horizontal="center" vertical="center" wrapText="1"/>
    </xf>
    <xf numFmtId="4" fontId="0" fillId="0" borderId="0" xfId="0" applyNumberFormat="1" applyBorder="1" applyAlignment="1">
      <alignment horizontal="center" vertical="center" wrapText="1"/>
    </xf>
    <xf numFmtId="4" fontId="13" fillId="0" borderId="0" xfId="1" applyNumberFormat="1" applyFont="1" applyFill="1" applyBorder="1" applyAlignment="1">
      <alignment horizontal="center" vertical="center" wrapText="1"/>
    </xf>
    <xf numFmtId="4" fontId="12" fillId="0" borderId="1" xfId="0" applyNumberFormat="1" applyFont="1" applyFill="1" applyBorder="1" applyAlignment="1">
      <alignment horizontal="center" vertical="center"/>
    </xf>
    <xf numFmtId="0" fontId="17" fillId="0" borderId="0" xfId="0" applyFont="1" applyAlignment="1">
      <alignment horizontal="center" vertical="center" wrapText="1"/>
    </xf>
    <xf numFmtId="0" fontId="18" fillId="2" borderId="0" xfId="0" applyFont="1" applyFill="1" applyAlignment="1">
      <alignment horizontal="center" vertical="center" wrapText="1"/>
    </xf>
    <xf numFmtId="0" fontId="18" fillId="9" borderId="0" xfId="0" applyFont="1" applyFill="1" applyAlignment="1">
      <alignment horizontal="center" vertical="center" wrapText="1"/>
    </xf>
    <xf numFmtId="0" fontId="9" fillId="2" borderId="1" xfId="0" applyFont="1" applyFill="1" applyBorder="1" applyAlignment="1">
      <alignment horizontal="left" vertical="center" wrapText="1"/>
    </xf>
    <xf numFmtId="0" fontId="21" fillId="0" borderId="0" xfId="0" applyFont="1" applyFill="1"/>
    <xf numFmtId="0" fontId="21" fillId="0" borderId="0" xfId="0" applyFont="1"/>
    <xf numFmtId="0" fontId="21" fillId="0" borderId="0" xfId="0" applyFont="1" applyAlignment="1">
      <alignment horizontal="center" vertical="center" wrapText="1"/>
    </xf>
    <xf numFmtId="4" fontId="21" fillId="0" borderId="0" xfId="0" applyNumberFormat="1" applyFont="1" applyAlignment="1">
      <alignment horizontal="center" vertical="center" wrapText="1"/>
    </xf>
    <xf numFmtId="0" fontId="21" fillId="0" borderId="0" xfId="0" applyFont="1" applyAlignment="1">
      <alignment horizontal="left"/>
    </xf>
    <xf numFmtId="4" fontId="21" fillId="0" borderId="0" xfId="0" applyNumberFormat="1" applyFont="1" applyAlignment="1">
      <alignment horizontal="center"/>
    </xf>
    <xf numFmtId="0" fontId="21" fillId="0" borderId="0" xfId="0" applyFont="1" applyAlignment="1">
      <alignment horizontal="left" vertical="center" wrapText="1"/>
    </xf>
    <xf numFmtId="0" fontId="12" fillId="0" borderId="0" xfId="0" applyFont="1" applyFill="1"/>
    <xf numFmtId="0" fontId="12" fillId="0" borderId="0" xfId="0" applyFont="1"/>
    <xf numFmtId="0" fontId="19" fillId="8"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9"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165" fontId="15" fillId="7" borderId="1" xfId="2" applyNumberFormat="1" applyFont="1" applyFill="1" applyBorder="1" applyAlignment="1">
      <alignment horizontal="left" vertical="center" wrapText="1"/>
    </xf>
    <xf numFmtId="4" fontId="22" fillId="0" borderId="1" xfId="0" applyNumberFormat="1" applyFont="1" applyFill="1" applyBorder="1" applyAlignment="1">
      <alignment horizontal="center" vertical="center"/>
    </xf>
    <xf numFmtId="0" fontId="23" fillId="0" borderId="1" xfId="0" applyFont="1" applyFill="1" applyBorder="1" applyAlignment="1">
      <alignment horizontal="center" vertical="center" wrapText="1"/>
    </xf>
    <xf numFmtId="0" fontId="23" fillId="2" borderId="1" xfId="0" applyFont="1" applyFill="1" applyBorder="1" applyAlignment="1">
      <alignment horizontal="center" vertical="center" wrapText="1"/>
    </xf>
    <xf numFmtId="4" fontId="23" fillId="0" borderId="1" xfId="2" applyNumberFormat="1" applyFont="1" applyFill="1" applyBorder="1" applyAlignment="1">
      <alignment horizontal="center" vertical="center" wrapText="1"/>
    </xf>
    <xf numFmtId="4" fontId="22" fillId="0" borderId="1" xfId="1" applyNumberFormat="1" applyFont="1" applyBorder="1" applyAlignment="1">
      <alignment horizontal="center" vertical="center" wrapText="1"/>
    </xf>
    <xf numFmtId="0" fontId="22" fillId="0" borderId="1" xfId="0" applyFont="1" applyFill="1" applyBorder="1" applyAlignment="1">
      <alignment horizontal="center" vertical="center" wrapText="1"/>
    </xf>
    <xf numFmtId="4" fontId="23" fillId="0" borderId="1" xfId="0" applyNumberFormat="1" applyFont="1" applyFill="1" applyBorder="1" applyAlignment="1">
      <alignment horizontal="center" vertical="center" wrapText="1"/>
    </xf>
    <xf numFmtId="0" fontId="23" fillId="2" borderId="1" xfId="0" applyNumberFormat="1" applyFont="1" applyFill="1" applyBorder="1" applyAlignment="1" applyProtection="1">
      <alignment horizontal="justify" vertical="center"/>
      <protection locked="0"/>
    </xf>
    <xf numFmtId="0" fontId="23" fillId="8" borderId="1" xfId="0" applyFont="1" applyFill="1" applyBorder="1" applyAlignment="1">
      <alignment horizontal="center" vertical="center" wrapText="1"/>
    </xf>
    <xf numFmtId="0" fontId="23" fillId="0" borderId="1" xfId="0" applyFont="1" applyFill="1" applyBorder="1" applyAlignment="1">
      <alignment horizontal="left" vertical="center" wrapText="1"/>
    </xf>
    <xf numFmtId="0" fontId="24" fillId="0" borderId="0" xfId="0" applyFont="1"/>
    <xf numFmtId="0" fontId="24" fillId="0" borderId="0" xfId="0" applyFont="1" applyAlignment="1">
      <alignment horizontal="left" vertical="center" wrapText="1"/>
    </xf>
    <xf numFmtId="0" fontId="24" fillId="0" borderId="0" xfId="0" applyFont="1" applyAlignment="1">
      <alignment horizontal="center" vertical="center" wrapText="1"/>
    </xf>
    <xf numFmtId="4" fontId="22" fillId="0" borderId="0" xfId="0" applyNumberFormat="1" applyFont="1" applyAlignment="1">
      <alignment horizontal="center" vertical="center" wrapText="1"/>
    </xf>
    <xf numFmtId="0" fontId="24" fillId="3" borderId="1" xfId="0" applyFont="1" applyFill="1" applyBorder="1" applyAlignment="1">
      <alignment horizontal="left" vertical="center" wrapText="1"/>
    </xf>
    <xf numFmtId="0" fontId="24" fillId="5" borderId="1" xfId="0" applyFont="1" applyFill="1" applyBorder="1" applyAlignment="1">
      <alignment horizontal="left" vertical="center" wrapText="1"/>
    </xf>
    <xf numFmtId="4" fontId="22" fillId="0" borderId="0" xfId="0" applyNumberFormat="1" applyFont="1" applyBorder="1" applyAlignment="1">
      <alignment horizontal="center" vertical="center" wrapText="1"/>
    </xf>
    <xf numFmtId="0" fontId="23" fillId="4" borderId="1" xfId="2" applyNumberFormat="1" applyFont="1" applyFill="1" applyBorder="1" applyAlignment="1">
      <alignment horizontal="left" vertical="center" wrapText="1"/>
    </xf>
    <xf numFmtId="4" fontId="22" fillId="0" borderId="0" xfId="1" applyNumberFormat="1" applyFont="1" applyBorder="1" applyAlignment="1">
      <alignment horizontal="center" vertical="center" wrapText="1"/>
    </xf>
    <xf numFmtId="0" fontId="23" fillId="6" borderId="1" xfId="2" applyNumberFormat="1" applyFont="1" applyFill="1" applyBorder="1" applyAlignment="1">
      <alignment horizontal="left" vertical="center" wrapText="1"/>
    </xf>
    <xf numFmtId="165" fontId="23" fillId="2" borderId="1" xfId="2" applyNumberFormat="1" applyFont="1" applyFill="1" applyBorder="1" applyAlignment="1">
      <alignment horizontal="left" vertical="center" wrapText="1"/>
    </xf>
    <xf numFmtId="0" fontId="26" fillId="0" borderId="0" xfId="0" applyFont="1" applyAlignment="1">
      <alignment horizontal="center" vertical="center" wrapText="1"/>
    </xf>
    <xf numFmtId="0" fontId="22" fillId="0" borderId="1" xfId="0" applyFont="1" applyFill="1" applyBorder="1" applyAlignment="1">
      <alignment horizontal="justify" vertical="center"/>
    </xf>
    <xf numFmtId="0" fontId="27" fillId="0" borderId="0" xfId="0" applyFont="1" applyAlignment="1">
      <alignment horizontal="distributed" vertical="center" wrapText="1"/>
    </xf>
    <xf numFmtId="0" fontId="22" fillId="0" borderId="0" xfId="0" applyFont="1" applyFill="1"/>
    <xf numFmtId="0" fontId="22" fillId="8" borderId="1" xfId="0" applyFont="1" applyFill="1" applyBorder="1" applyAlignment="1">
      <alignment horizontal="center" vertical="center" wrapText="1"/>
    </xf>
    <xf numFmtId="0" fontId="22" fillId="0" borderId="1" xfId="0" applyFont="1" applyFill="1" applyBorder="1" applyAlignment="1">
      <alignment horizontal="justify" vertical="center" wrapText="1"/>
    </xf>
    <xf numFmtId="0" fontId="23" fillId="0" borderId="1" xfId="0" applyFont="1" applyFill="1" applyBorder="1" applyAlignment="1">
      <alignment horizontal="justify" vertical="center" wrapText="1"/>
    </xf>
    <xf numFmtId="0" fontId="22" fillId="8" borderId="1" xfId="0" applyFont="1" applyFill="1" applyBorder="1"/>
    <xf numFmtId="165" fontId="23" fillId="0" borderId="1" xfId="2" applyNumberFormat="1" applyFont="1" applyFill="1" applyBorder="1" applyAlignment="1">
      <alignment horizontal="left" vertical="center" wrapText="1"/>
    </xf>
    <xf numFmtId="0" fontId="22" fillId="0" borderId="0" xfId="0" applyFont="1"/>
    <xf numFmtId="0" fontId="23" fillId="8" borderId="1" xfId="0" applyFont="1" applyFill="1" applyBorder="1" applyAlignment="1">
      <alignment horizontal="left" vertical="center" wrapText="1"/>
    </xf>
    <xf numFmtId="4" fontId="22" fillId="8" borderId="1" xfId="1" applyNumberFormat="1" applyFont="1" applyFill="1" applyBorder="1" applyAlignment="1">
      <alignment horizontal="center" vertical="center" wrapText="1"/>
    </xf>
    <xf numFmtId="0" fontId="23" fillId="0" borderId="1" xfId="0" applyFont="1" applyFill="1" applyBorder="1" applyAlignment="1">
      <alignment horizontal="justify" vertical="center"/>
    </xf>
    <xf numFmtId="0" fontId="12" fillId="4" borderId="1" xfId="0" applyFont="1" applyFill="1" applyBorder="1" applyAlignment="1">
      <alignment horizontal="center" vertical="center" wrapText="1"/>
    </xf>
    <xf numFmtId="0" fontId="28" fillId="0" borderId="0" xfId="0" applyFont="1"/>
    <xf numFmtId="0" fontId="23" fillId="0" borderId="2" xfId="0" applyFont="1" applyFill="1" applyBorder="1" applyAlignment="1">
      <alignment horizontal="justify" vertical="center"/>
    </xf>
    <xf numFmtId="0" fontId="9" fillId="6" borderId="1" xfId="0" applyFont="1" applyFill="1" applyBorder="1" applyAlignment="1">
      <alignment horizontal="center" vertical="center" wrapText="1"/>
    </xf>
    <xf numFmtId="0" fontId="23" fillId="0" borderId="1" xfId="32" applyFont="1" applyFill="1" applyBorder="1" applyAlignment="1">
      <alignment horizontal="justify" vertical="center"/>
    </xf>
    <xf numFmtId="4" fontId="23" fillId="8" borderId="1" xfId="2" applyNumberFormat="1" applyFont="1" applyFill="1" applyBorder="1" applyAlignment="1">
      <alignment horizontal="center" vertical="center" wrapText="1"/>
    </xf>
    <xf numFmtId="0" fontId="18" fillId="8" borderId="0" xfId="0" applyFont="1" applyFill="1" applyAlignment="1">
      <alignment horizontal="center" vertical="center" wrapText="1"/>
    </xf>
    <xf numFmtId="0" fontId="9" fillId="2" borderId="1" xfId="0" applyFont="1" applyFill="1" applyBorder="1" applyAlignment="1">
      <alignment horizontal="justify" vertical="center"/>
    </xf>
    <xf numFmtId="0" fontId="23" fillId="0" borderId="1" xfId="47" applyNumberFormat="1" applyFont="1" applyFill="1" applyBorder="1" applyAlignment="1" applyProtection="1">
      <alignment horizontal="justify" vertical="center"/>
      <protection locked="0"/>
    </xf>
    <xf numFmtId="0" fontId="23" fillId="2" borderId="1" xfId="32" applyFont="1" applyFill="1" applyBorder="1" applyAlignment="1">
      <alignment horizontal="justify" vertical="center"/>
    </xf>
    <xf numFmtId="0" fontId="23" fillId="0" borderId="1" xfId="32" applyNumberFormat="1" applyFont="1" applyFill="1" applyBorder="1" applyAlignment="1" applyProtection="1">
      <alignment horizontal="justify" vertical="center"/>
      <protection locked="0"/>
    </xf>
    <xf numFmtId="0" fontId="23" fillId="2" borderId="1" xfId="32" applyNumberFormat="1" applyFont="1" applyFill="1" applyBorder="1" applyAlignment="1" applyProtection="1">
      <alignment horizontal="justify" vertical="center"/>
      <protection locked="0"/>
    </xf>
    <xf numFmtId="0" fontId="9" fillId="0" borderId="3" xfId="0" applyFont="1" applyFill="1" applyBorder="1" applyAlignment="1">
      <alignment horizontal="center" vertical="center" wrapText="1"/>
    </xf>
    <xf numFmtId="0" fontId="9" fillId="0" borderId="4" xfId="32" applyFont="1" applyFill="1" applyBorder="1" applyAlignment="1">
      <alignment horizontal="justify" vertical="center"/>
    </xf>
    <xf numFmtId="0" fontId="22" fillId="0" borderId="1" xfId="0" applyFont="1" applyBorder="1" applyAlignment="1">
      <alignment horizontal="justify" vertical="center"/>
    </xf>
    <xf numFmtId="0" fontId="9" fillId="2" borderId="1" xfId="17" applyFont="1" applyFill="1" applyBorder="1" applyAlignment="1" applyProtection="1">
      <alignment horizontal="left" vertical="center" wrapText="1"/>
    </xf>
    <xf numFmtId="0" fontId="30" fillId="0" borderId="0" xfId="0" applyFont="1"/>
    <xf numFmtId="165" fontId="9" fillId="0" borderId="4" xfId="2" applyNumberFormat="1" applyFont="1" applyFill="1" applyBorder="1" applyAlignment="1">
      <alignment horizontal="center" vertical="center" wrapText="1"/>
    </xf>
    <xf numFmtId="4" fontId="12" fillId="11" borderId="0" xfId="1" applyNumberFormat="1" applyFont="1" applyFill="1" applyBorder="1" applyAlignment="1">
      <alignment horizontal="center" vertical="center" wrapText="1"/>
    </xf>
    <xf numFmtId="0" fontId="12" fillId="0" borderId="0" xfId="0" applyFont="1" applyAlignment="1">
      <alignment horizontal="justify" vertical="center"/>
    </xf>
    <xf numFmtId="0" fontId="9" fillId="12" borderId="1" xfId="0" applyFont="1" applyFill="1" applyBorder="1" applyAlignment="1">
      <alignment horizontal="justify" vertical="center"/>
    </xf>
    <xf numFmtId="0" fontId="23" fillId="0" borderId="1" xfId="0" applyNumberFormat="1" applyFont="1" applyFill="1" applyBorder="1" applyAlignment="1">
      <alignment horizontal="justify" vertical="center"/>
    </xf>
    <xf numFmtId="0" fontId="9" fillId="12" borderId="1" xfId="0" applyFont="1" applyFill="1" applyBorder="1" applyAlignment="1">
      <alignment horizontal="left" vertical="center" wrapText="1"/>
    </xf>
    <xf numFmtId="0" fontId="9" fillId="12" borderId="1" xfId="2" applyNumberFormat="1" applyFont="1" applyFill="1" applyBorder="1" applyAlignment="1">
      <alignment horizontal="center" vertical="center" wrapText="1"/>
    </xf>
    <xf numFmtId="0" fontId="12" fillId="12" borderId="1" xfId="0" applyFont="1" applyFill="1" applyBorder="1" applyAlignment="1">
      <alignment horizontal="center" vertical="center" wrapText="1"/>
    </xf>
    <xf numFmtId="0" fontId="23" fillId="0" borderId="5" xfId="0" applyFont="1" applyFill="1" applyBorder="1" applyAlignment="1">
      <alignment horizontal="justify" vertical="center" wrapText="1"/>
    </xf>
    <xf numFmtId="0" fontId="23" fillId="0" borderId="1" xfId="0" applyNumberFormat="1" applyFont="1" applyFill="1" applyBorder="1" applyAlignment="1" applyProtection="1">
      <alignment horizontal="justify" vertical="center"/>
      <protection locked="0"/>
    </xf>
    <xf numFmtId="0" fontId="0" fillId="0" borderId="0" xfId="0" applyFill="1" applyBorder="1"/>
    <xf numFmtId="0" fontId="9" fillId="0" borderId="4" xfId="32" applyFont="1" applyFill="1" applyBorder="1" applyAlignment="1">
      <alignment horizontal="center" vertical="center"/>
    </xf>
    <xf numFmtId="0" fontId="18" fillId="13" borderId="0" xfId="0" applyFont="1" applyFill="1" applyAlignment="1">
      <alignment horizontal="center" vertical="center" wrapText="1"/>
    </xf>
    <xf numFmtId="0" fontId="19" fillId="13" borderId="1" xfId="0" applyFont="1" applyFill="1" applyBorder="1" applyAlignment="1">
      <alignment horizontal="center" vertical="center" wrapText="1"/>
    </xf>
    <xf numFmtId="0" fontId="23" fillId="0" borderId="1" xfId="46" applyFont="1" applyFill="1" applyBorder="1" applyAlignment="1">
      <alignment horizontal="justify" vertical="center"/>
    </xf>
    <xf numFmtId="0" fontId="22" fillId="14" borderId="0" xfId="0" applyFont="1" applyFill="1" applyBorder="1" applyAlignment="1">
      <alignment horizontal="center" vertical="center" wrapText="1"/>
    </xf>
    <xf numFmtId="0" fontId="22" fillId="2" borderId="0" xfId="0" applyFont="1" applyFill="1" applyBorder="1" applyAlignment="1">
      <alignment horizontal="center" vertical="center" wrapText="1"/>
    </xf>
    <xf numFmtId="0" fontId="22" fillId="0" borderId="0" xfId="0" applyFont="1" applyBorder="1" applyAlignment="1">
      <alignment horizontal="left" vertical="center" wrapText="1"/>
    </xf>
    <xf numFmtId="0" fontId="24" fillId="0" borderId="0" xfId="0" applyFont="1" applyBorder="1" applyAlignment="1">
      <alignment horizontal="left" vertical="center" wrapText="1"/>
    </xf>
    <xf numFmtId="0" fontId="25" fillId="13" borderId="0" xfId="0" applyFont="1" applyFill="1" applyBorder="1" applyAlignment="1">
      <alignment horizontal="center" vertical="center" wrapText="1"/>
    </xf>
    <xf numFmtId="0" fontId="22" fillId="10" borderId="0" xfId="0" applyFont="1" applyFill="1" applyBorder="1" applyAlignment="1">
      <alignment horizontal="center" vertical="center" wrapText="1"/>
    </xf>
    <xf numFmtId="0" fontId="25" fillId="12" borderId="0" xfId="0" applyFont="1" applyFill="1" applyBorder="1" applyAlignment="1">
      <alignment horizontal="center" vertical="center" wrapText="1"/>
    </xf>
    <xf numFmtId="0" fontId="22" fillId="0" borderId="1" xfId="0" applyFont="1" applyFill="1" applyBorder="1" applyAlignment="1">
      <alignment vertical="center" wrapText="1"/>
    </xf>
    <xf numFmtId="0" fontId="23" fillId="0" borderId="1" xfId="56" applyNumberFormat="1" applyFont="1" applyFill="1" applyBorder="1" applyAlignment="1" applyProtection="1">
      <alignment horizontal="justify" vertical="center"/>
      <protection locked="0"/>
    </xf>
    <xf numFmtId="0" fontId="23" fillId="0" borderId="1" xfId="32" applyNumberFormat="1" applyFont="1" applyFill="1" applyBorder="1" applyAlignment="1" applyProtection="1">
      <alignment horizontal="center" vertical="center" wrapText="1"/>
      <protection locked="0"/>
    </xf>
    <xf numFmtId="0" fontId="23" fillId="0" borderId="1" xfId="32" applyNumberFormat="1" applyFont="1" applyFill="1" applyBorder="1" applyAlignment="1">
      <alignment horizontal="justify" vertical="center"/>
    </xf>
    <xf numFmtId="0" fontId="23" fillId="0" borderId="1" xfId="46" applyNumberFormat="1" applyFont="1" applyFill="1" applyBorder="1" applyAlignment="1" applyProtection="1">
      <alignment horizontal="justify" vertical="center"/>
      <protection locked="0"/>
    </xf>
    <xf numFmtId="0" fontId="23" fillId="0" borderId="1" xfId="52" applyNumberFormat="1" applyFont="1" applyFill="1" applyBorder="1" applyAlignment="1" applyProtection="1">
      <alignment horizontal="justify" vertical="center"/>
      <protection locked="0"/>
    </xf>
    <xf numFmtId="0" fontId="23" fillId="0" borderId="4" xfId="0" applyFont="1" applyFill="1" applyBorder="1" applyAlignment="1">
      <alignment horizontal="justify" vertical="center"/>
    </xf>
    <xf numFmtId="0" fontId="23" fillId="4" borderId="1" xfId="32" applyNumberFormat="1" applyFont="1" applyFill="1" applyBorder="1" applyAlignment="1" applyProtection="1">
      <alignment horizontal="justify" vertical="center"/>
      <protection locked="0"/>
    </xf>
    <xf numFmtId="4" fontId="12" fillId="0" borderId="0" xfId="0" applyNumberFormat="1" applyFont="1" applyAlignment="1">
      <alignment horizontal="center"/>
    </xf>
    <xf numFmtId="0" fontId="23" fillId="4" borderId="1" xfId="32" applyFont="1" applyFill="1" applyBorder="1" applyAlignment="1">
      <alignment horizontal="justify" vertical="center"/>
    </xf>
    <xf numFmtId="0" fontId="23" fillId="4" borderId="4" xfId="32" applyFont="1" applyFill="1" applyBorder="1" applyAlignment="1">
      <alignment horizontal="justify" vertical="center"/>
    </xf>
    <xf numFmtId="0" fontId="23" fillId="4" borderId="4" xfId="32" applyNumberFormat="1" applyFont="1" applyFill="1" applyBorder="1" applyAlignment="1" applyProtection="1">
      <alignment horizontal="justify" vertical="center"/>
      <protection locked="0"/>
    </xf>
    <xf numFmtId="0" fontId="22" fillId="0" borderId="0" xfId="0" applyFont="1" applyAlignment="1">
      <alignment horizontal="justify" vertical="center"/>
    </xf>
    <xf numFmtId="0" fontId="23" fillId="4" borderId="1" xfId="56" applyNumberFormat="1" applyFont="1" applyFill="1" applyBorder="1" applyAlignment="1" applyProtection="1">
      <alignment horizontal="justify" vertical="center"/>
      <protection locked="0"/>
    </xf>
    <xf numFmtId="0" fontId="23" fillId="2" borderId="1" xfId="46" applyFont="1" applyFill="1" applyBorder="1" applyAlignment="1">
      <alignment horizontal="justify" vertical="center"/>
    </xf>
    <xf numFmtId="0" fontId="23" fillId="12" borderId="1" xfId="32" applyFont="1" applyFill="1" applyBorder="1" applyAlignment="1">
      <alignment horizontal="justify" vertical="center"/>
    </xf>
    <xf numFmtId="0" fontId="23" fillId="2" borderId="5" xfId="32" applyNumberFormat="1" applyFont="1" applyFill="1" applyBorder="1" applyAlignment="1" applyProtection="1">
      <alignment horizontal="justify" vertical="center"/>
      <protection locked="0"/>
    </xf>
    <xf numFmtId="0" fontId="23" fillId="4" borderId="4" xfId="56" applyNumberFormat="1" applyFont="1" applyFill="1" applyBorder="1" applyAlignment="1" applyProtection="1">
      <alignment horizontal="justify" vertical="center"/>
      <protection locked="0"/>
    </xf>
    <xf numFmtId="0" fontId="23" fillId="12" borderId="1" xfId="56" applyNumberFormat="1" applyFont="1" applyFill="1" applyBorder="1" applyAlignment="1" applyProtection="1">
      <alignment horizontal="justify" vertical="center"/>
      <protection locked="0"/>
    </xf>
    <xf numFmtId="0" fontId="23" fillId="4" borderId="4" xfId="64" applyNumberFormat="1" applyFont="1" applyFill="1" applyBorder="1" applyAlignment="1" applyProtection="1">
      <alignment horizontal="justify" vertical="center"/>
      <protection locked="0"/>
    </xf>
    <xf numFmtId="0" fontId="23" fillId="4" borderId="5" xfId="32" applyFont="1" applyFill="1" applyBorder="1" applyAlignment="1">
      <alignment horizontal="justify" vertical="center"/>
    </xf>
    <xf numFmtId="0" fontId="23" fillId="4" borderId="4" xfId="32" applyNumberFormat="1" applyFont="1" applyFill="1" applyBorder="1" applyAlignment="1">
      <alignment horizontal="justify" vertical="center"/>
    </xf>
    <xf numFmtId="0" fontId="23" fillId="4" borderId="4" xfId="47" applyFont="1" applyFill="1" applyBorder="1" applyAlignment="1">
      <alignment horizontal="justify" vertical="center"/>
    </xf>
    <xf numFmtId="0" fontId="22" fillId="4" borderId="4" xfId="0" applyFont="1" applyFill="1" applyBorder="1" applyAlignment="1">
      <alignment horizontal="justify" vertical="center"/>
    </xf>
    <xf numFmtId="0" fontId="23" fillId="0" borderId="1" xfId="32" applyNumberFormat="1" applyFont="1" applyFill="1" applyBorder="1" applyAlignment="1" applyProtection="1">
      <alignment horizontal="justify" vertical="center" wrapText="1"/>
      <protection locked="0"/>
    </xf>
    <xf numFmtId="0" fontId="23" fillId="0" borderId="1" xfId="17" applyFont="1" applyFill="1" applyBorder="1" applyAlignment="1" applyProtection="1">
      <alignment horizontal="justify" vertical="center" wrapText="1"/>
    </xf>
    <xf numFmtId="0" fontId="23" fillId="11" borderId="1" xfId="32" applyFont="1" applyFill="1" applyBorder="1" applyAlignment="1">
      <alignment horizontal="justify" vertical="center"/>
    </xf>
    <xf numFmtId="0" fontId="23" fillId="11" borderId="5" xfId="32" applyFont="1" applyFill="1" applyBorder="1" applyAlignment="1">
      <alignment horizontal="justify" vertical="center"/>
    </xf>
    <xf numFmtId="0" fontId="23" fillId="11" borderId="5" xfId="46" applyFont="1" applyFill="1" applyBorder="1" applyAlignment="1">
      <alignment horizontal="justify" vertical="center"/>
    </xf>
    <xf numFmtId="0" fontId="23" fillId="11" borderId="1" xfId="46" applyFont="1" applyFill="1" applyBorder="1" applyAlignment="1">
      <alignment horizontal="justify" vertical="center"/>
    </xf>
    <xf numFmtId="165" fontId="23" fillId="11" borderId="1" xfId="2" applyNumberFormat="1" applyFont="1" applyFill="1" applyBorder="1" applyAlignment="1">
      <alignment horizontal="left" vertical="center" wrapText="1"/>
    </xf>
    <xf numFmtId="0" fontId="22" fillId="15" borderId="0" xfId="0" applyFont="1" applyFill="1" applyBorder="1" applyAlignment="1">
      <alignment horizontal="center" vertical="center" wrapText="1"/>
    </xf>
    <xf numFmtId="0" fontId="23" fillId="2" borderId="1" xfId="56" applyNumberFormat="1" applyFont="1" applyFill="1" applyBorder="1" applyAlignment="1" applyProtection="1">
      <alignment horizontal="justify" vertical="center"/>
      <protection locked="0"/>
    </xf>
    <xf numFmtId="165" fontId="9" fillId="0" borderId="3" xfId="2" applyNumberFormat="1" applyFont="1" applyFill="1" applyBorder="1" applyAlignment="1">
      <alignment horizontal="center" vertical="center" wrapText="1"/>
    </xf>
    <xf numFmtId="0" fontId="23" fillId="0" borderId="5" xfId="32" applyFont="1" applyFill="1" applyBorder="1" applyAlignment="1">
      <alignment horizontal="justify" vertical="center"/>
    </xf>
    <xf numFmtId="0" fontId="22" fillId="0" borderId="1" xfId="0" applyFont="1" applyFill="1" applyBorder="1" applyAlignment="1">
      <alignment horizontal="center" vertical="center"/>
    </xf>
    <xf numFmtId="0" fontId="9" fillId="0" borderId="1" xfId="0" applyNumberFormat="1" applyFont="1" applyFill="1" applyBorder="1" applyAlignment="1" applyProtection="1">
      <alignment horizontal="center" vertical="center"/>
      <protection locked="0"/>
    </xf>
    <xf numFmtId="0" fontId="9" fillId="0" borderId="1" xfId="32" applyFont="1" applyFill="1" applyBorder="1" applyAlignment="1">
      <alignment horizontal="center" vertical="center"/>
    </xf>
    <xf numFmtId="17" fontId="23" fillId="4" borderId="1" xfId="32" applyNumberFormat="1" applyFont="1" applyFill="1" applyBorder="1" applyAlignment="1">
      <alignment horizontal="justify" vertical="center"/>
    </xf>
    <xf numFmtId="0" fontId="23" fillId="2" borderId="4" xfId="32" applyFont="1" applyFill="1" applyBorder="1" applyAlignment="1">
      <alignment horizontal="justify" vertical="center"/>
    </xf>
    <xf numFmtId="0" fontId="23" fillId="0" borderId="0" xfId="32" applyFont="1" applyFill="1" applyBorder="1" applyAlignment="1">
      <alignment horizontal="justify" vertical="center"/>
    </xf>
    <xf numFmtId="0" fontId="23" fillId="14" borderId="1" xfId="0" applyFont="1" applyFill="1" applyBorder="1" applyAlignment="1">
      <alignment horizontal="justify" vertical="center"/>
    </xf>
    <xf numFmtId="0" fontId="23" fillId="4" borderId="1" xfId="46" applyFont="1" applyFill="1" applyBorder="1" applyAlignment="1">
      <alignment horizontal="justify" vertical="center"/>
    </xf>
    <xf numFmtId="0" fontId="22" fillId="4" borderId="1" xfId="0" applyFont="1" applyFill="1" applyBorder="1" applyAlignment="1">
      <alignment horizontal="justify" vertical="center"/>
    </xf>
    <xf numFmtId="4" fontId="12" fillId="0" borderId="1" xfId="4" applyNumberFormat="1" applyFont="1" applyBorder="1" applyAlignment="1">
      <alignment horizontal="center" vertical="center" wrapText="1"/>
    </xf>
    <xf numFmtId="4" fontId="12" fillId="0" borderId="1" xfId="4" applyNumberFormat="1" applyFont="1" applyFill="1" applyBorder="1" applyAlignment="1">
      <alignment horizontal="center" vertical="center" wrapText="1"/>
    </xf>
    <xf numFmtId="44" fontId="9" fillId="2" borderId="1" xfId="13" applyFont="1" applyFill="1" applyBorder="1" applyAlignment="1" applyProtection="1">
      <alignment horizontal="left" vertical="center" wrapText="1"/>
    </xf>
    <xf numFmtId="0" fontId="32" fillId="0" borderId="0" xfId="0" applyFont="1"/>
    <xf numFmtId="0" fontId="12" fillId="0" borderId="0" xfId="0" applyFont="1" applyAlignment="1">
      <alignment horizontal="left"/>
    </xf>
    <xf numFmtId="0" fontId="33" fillId="0" borderId="0" xfId="0" applyFont="1" applyFill="1"/>
    <xf numFmtId="0" fontId="23" fillId="2" borderId="1" xfId="0" applyFont="1" applyFill="1" applyBorder="1" applyAlignment="1">
      <alignment horizontal="justify" vertical="center"/>
    </xf>
    <xf numFmtId="44" fontId="23" fillId="0" borderId="1" xfId="13" applyFont="1" applyFill="1" applyBorder="1" applyAlignment="1" applyProtection="1">
      <alignment horizontal="left" vertical="center" wrapText="1"/>
    </xf>
    <xf numFmtId="0" fontId="23" fillId="0" borderId="1" xfId="32" applyFont="1" applyFill="1" applyBorder="1" applyAlignment="1">
      <alignment horizontal="justify" vertical="center" wrapText="1"/>
    </xf>
    <xf numFmtId="0" fontId="23" fillId="2" borderId="1" xfId="0" applyFont="1" applyFill="1" applyBorder="1" applyAlignment="1">
      <alignment horizontal="justify" vertical="center" wrapText="1"/>
    </xf>
    <xf numFmtId="0" fontId="23" fillId="4" borderId="1" xfId="0" applyFont="1" applyFill="1" applyBorder="1" applyAlignment="1">
      <alignment horizontal="center" vertical="center" wrapText="1"/>
    </xf>
    <xf numFmtId="4" fontId="23" fillId="2" borderId="1" xfId="2" applyNumberFormat="1" applyFont="1" applyFill="1" applyBorder="1" applyAlignment="1">
      <alignment horizontal="center" vertical="center" wrapText="1"/>
    </xf>
    <xf numFmtId="0" fontId="34" fillId="0" borderId="0" xfId="0" applyFont="1"/>
    <xf numFmtId="165" fontId="9" fillId="0" borderId="5" xfId="2" applyNumberFormat="1" applyFont="1" applyFill="1" applyBorder="1" applyAlignment="1">
      <alignment horizontal="center" vertical="center" wrapText="1"/>
    </xf>
    <xf numFmtId="0" fontId="9" fillId="12" borderId="1" xfId="32" applyFont="1" applyFill="1" applyBorder="1" applyAlignment="1">
      <alignment horizontal="justify" vertical="center"/>
    </xf>
    <xf numFmtId="14" fontId="23" fillId="14" borderId="1" xfId="0" applyNumberFormat="1" applyFont="1" applyFill="1" applyBorder="1" applyAlignment="1">
      <alignment horizontal="center" vertical="center" wrapText="1"/>
    </xf>
    <xf numFmtId="0" fontId="32" fillId="0" borderId="1" xfId="0" applyFont="1" applyBorder="1"/>
    <xf numFmtId="0" fontId="33" fillId="0" borderId="1" xfId="0" applyFont="1" applyFill="1" applyBorder="1"/>
    <xf numFmtId="0" fontId="9" fillId="2" borderId="1" xfId="0" applyNumberFormat="1" applyFont="1" applyFill="1" applyBorder="1" applyAlignment="1" applyProtection="1">
      <alignment horizontal="left" vertical="center" wrapText="1"/>
      <protection locked="0"/>
    </xf>
    <xf numFmtId="0" fontId="9" fillId="2" borderId="4" xfId="0" applyFont="1" applyFill="1" applyBorder="1" applyAlignment="1">
      <alignment horizontal="justify" vertical="center"/>
    </xf>
    <xf numFmtId="0" fontId="9" fillId="0" borderId="5" xfId="32" applyNumberFormat="1" applyFont="1" applyFill="1" applyBorder="1" applyAlignment="1" applyProtection="1">
      <alignment horizontal="justify" vertical="center"/>
      <protection locked="0"/>
    </xf>
    <xf numFmtId="4" fontId="12" fillId="0" borderId="6" xfId="4" applyNumberFormat="1" applyFont="1" applyFill="1" applyBorder="1" applyAlignment="1">
      <alignment horizontal="center" vertical="center" wrapText="1"/>
    </xf>
    <xf numFmtId="4" fontId="12" fillId="0" borderId="1" xfId="0" applyNumberFormat="1" applyFont="1" applyFill="1" applyBorder="1" applyAlignment="1">
      <alignment horizontal="center" vertical="center" wrapText="1"/>
    </xf>
    <xf numFmtId="0" fontId="9" fillId="2" borderId="1" xfId="0" applyFont="1" applyFill="1" applyBorder="1" applyAlignment="1">
      <alignment horizontal="justify" vertical="center" wrapText="1"/>
    </xf>
    <xf numFmtId="0" fontId="9" fillId="2" borderId="1" xfId="32" applyFont="1" applyFill="1" applyBorder="1" applyAlignment="1">
      <alignment horizontal="justify" vertical="center"/>
    </xf>
    <xf numFmtId="0" fontId="9" fillId="2" borderId="1" xfId="0" applyNumberFormat="1" applyFont="1" applyFill="1" applyBorder="1" applyAlignment="1" applyProtection="1">
      <alignment horizontal="justify" vertical="center"/>
      <protection locked="0"/>
    </xf>
    <xf numFmtId="0" fontId="9" fillId="0" borderId="1" xfId="32" applyNumberFormat="1" applyFont="1" applyFill="1" applyBorder="1" applyAlignment="1" applyProtection="1">
      <alignment horizontal="justify" vertical="center"/>
      <protection locked="0"/>
    </xf>
    <xf numFmtId="0" fontId="23" fillId="12" borderId="1" xfId="46" applyFont="1" applyFill="1" applyBorder="1" applyAlignment="1">
      <alignment horizontal="justify" vertical="center"/>
    </xf>
    <xf numFmtId="0" fontId="35" fillId="0" borderId="0" xfId="0" applyFont="1" applyFill="1" applyBorder="1" applyAlignment="1">
      <alignment horizontal="center" vertical="center" wrapText="1"/>
    </xf>
    <xf numFmtId="0" fontId="22" fillId="0" borderId="0" xfId="0" applyFont="1" applyFill="1" applyBorder="1" applyAlignment="1">
      <alignment horizontal="justify" vertical="center"/>
    </xf>
    <xf numFmtId="0" fontId="23" fillId="0" borderId="0" xfId="32" applyFont="1" applyFill="1" applyBorder="1" applyAlignment="1">
      <alignment horizontal="center" vertical="center" wrapText="1"/>
    </xf>
    <xf numFmtId="0" fontId="22" fillId="2" borderId="1" xfId="0" applyFont="1" applyFill="1" applyBorder="1" applyAlignment="1">
      <alignment horizontal="center" vertical="center" wrapText="1"/>
    </xf>
    <xf numFmtId="0" fontId="23" fillId="2" borderId="1" xfId="32" applyFont="1" applyFill="1" applyBorder="1" applyAlignment="1">
      <alignment horizontal="center" vertical="center" wrapText="1"/>
    </xf>
    <xf numFmtId="0" fontId="23" fillId="4" borderId="1" xfId="0" applyFont="1" applyFill="1" applyBorder="1" applyAlignment="1">
      <alignment horizontal="justify" vertical="center"/>
    </xf>
    <xf numFmtId="0" fontId="23" fillId="0" borderId="4" xfId="32" applyFont="1" applyFill="1" applyBorder="1" applyAlignment="1">
      <alignment horizontal="justify" vertical="center"/>
    </xf>
    <xf numFmtId="0" fontId="23" fillId="0" borderId="5" xfId="17" applyFont="1" applyFill="1" applyBorder="1" applyAlignment="1" applyProtection="1">
      <alignment horizontal="justify" vertical="center" wrapText="1"/>
    </xf>
    <xf numFmtId="0" fontId="23" fillId="0" borderId="5" xfId="32" applyNumberFormat="1" applyFont="1" applyFill="1" applyBorder="1" applyAlignment="1" applyProtection="1">
      <alignment horizontal="justify" vertical="center"/>
      <protection locked="0"/>
    </xf>
    <xf numFmtId="0" fontId="23" fillId="0" borderId="1" xfId="65" applyFont="1" applyFill="1" applyBorder="1" applyAlignment="1">
      <alignment horizontal="justify" vertical="center"/>
    </xf>
    <xf numFmtId="0" fontId="23" fillId="0" borderId="1" xfId="32" applyFont="1" applyFill="1" applyBorder="1" applyAlignment="1">
      <alignment horizontal="left" vertical="center" wrapText="1"/>
    </xf>
    <xf numFmtId="44" fontId="23" fillId="0" borderId="1" xfId="11" applyNumberFormat="1" applyFont="1" applyFill="1" applyBorder="1" applyAlignment="1" applyProtection="1">
      <alignment horizontal="left" vertical="center" wrapText="1"/>
    </xf>
    <xf numFmtId="0" fontId="35" fillId="15" borderId="0" xfId="0" applyFont="1" applyFill="1"/>
    <xf numFmtId="0" fontId="35" fillId="0" borderId="0" xfId="0" applyFont="1" applyFill="1"/>
    <xf numFmtId="0" fontId="23" fillId="4" borderId="7" xfId="65" applyFont="1" applyFill="1" applyBorder="1" applyAlignment="1">
      <alignment horizontal="justify" vertical="center"/>
    </xf>
    <xf numFmtId="0" fontId="23" fillId="4" borderId="7" xfId="32" applyNumberFormat="1" applyFont="1" applyFill="1" applyBorder="1" applyAlignment="1" applyProtection="1">
      <alignment horizontal="justify" vertical="center"/>
      <protection locked="0"/>
    </xf>
    <xf numFmtId="0" fontId="22" fillId="4" borderId="0" xfId="0" applyFont="1" applyFill="1" applyBorder="1" applyAlignment="1">
      <alignment horizontal="justify" vertical="center"/>
    </xf>
    <xf numFmtId="0" fontId="23" fillId="4" borderId="1" xfId="0" applyFont="1" applyFill="1" applyBorder="1" applyAlignment="1">
      <alignment horizontal="justify" vertical="center" wrapText="1"/>
    </xf>
    <xf numFmtId="0" fontId="23" fillId="0" borderId="4" xfId="32" applyFont="1" applyFill="1" applyBorder="1" applyAlignment="1">
      <alignment horizontal="justify" vertical="center" wrapText="1"/>
    </xf>
    <xf numFmtId="0" fontId="23" fillId="2" borderId="3" xfId="32" applyFont="1" applyFill="1" applyBorder="1" applyAlignment="1">
      <alignment horizontal="justify" vertical="center"/>
    </xf>
    <xf numFmtId="0" fontId="23" fillId="12" borderId="5" xfId="47" applyFont="1" applyFill="1" applyBorder="1" applyAlignment="1">
      <alignment horizontal="justify" vertical="center"/>
    </xf>
    <xf numFmtId="0" fontId="23" fillId="2" borderId="8" xfId="52" applyNumberFormat="1" applyFont="1" applyFill="1" applyBorder="1" applyAlignment="1" applyProtection="1">
      <alignment horizontal="justify" vertical="center"/>
      <protection locked="0"/>
    </xf>
    <xf numFmtId="0" fontId="22" fillId="2" borderId="1" xfId="80" applyFont="1" applyFill="1" applyBorder="1" applyAlignment="1">
      <alignment horizontal="justify" vertical="center"/>
    </xf>
    <xf numFmtId="0" fontId="23" fillId="2" borderId="1" xfId="32" applyNumberFormat="1" applyFont="1" applyFill="1" applyBorder="1" applyAlignment="1" applyProtection="1">
      <alignment horizontal="center" vertical="center" wrapText="1"/>
      <protection locked="0"/>
    </xf>
    <xf numFmtId="0" fontId="23" fillId="0" borderId="3" xfId="0" applyFont="1" applyFill="1" applyBorder="1" applyAlignment="1">
      <alignment horizontal="justify" vertical="center" wrapText="1"/>
    </xf>
    <xf numFmtId="165" fontId="23" fillId="0" borderId="1" xfId="2" applyNumberFormat="1"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2" borderId="1" xfId="32" applyFont="1" applyFill="1" applyBorder="1" applyAlignment="1">
      <alignment horizontal="justify" vertical="center" wrapText="1"/>
    </xf>
    <xf numFmtId="0" fontId="12" fillId="2" borderId="1" xfId="0" applyFont="1" applyFill="1" applyBorder="1" applyAlignment="1">
      <alignment horizontal="left" vertical="center"/>
    </xf>
    <xf numFmtId="0" fontId="12" fillId="0" borderId="1" xfId="0" applyFont="1" applyFill="1" applyBorder="1" applyAlignment="1">
      <alignment horizontal="justify" vertical="center"/>
    </xf>
    <xf numFmtId="0" fontId="12" fillId="2" borderId="1" xfId="0" applyFont="1" applyFill="1" applyBorder="1" applyAlignment="1">
      <alignment horizontal="center" vertical="center" wrapText="1"/>
    </xf>
    <xf numFmtId="0" fontId="39" fillId="0" borderId="0" xfId="0" applyFont="1" applyAlignment="1">
      <alignment horizontal="center" vertical="center" wrapText="1"/>
    </xf>
    <xf numFmtId="0" fontId="23" fillId="2" borderId="1" xfId="81" applyFont="1" applyFill="1" applyBorder="1" applyAlignment="1">
      <alignment horizontal="justify" vertical="center"/>
    </xf>
    <xf numFmtId="0" fontId="22" fillId="0" borderId="1" xfId="81" applyFont="1" applyFill="1" applyBorder="1" applyAlignment="1">
      <alignment horizontal="justify" vertical="center"/>
    </xf>
    <xf numFmtId="0" fontId="23" fillId="0" borderId="1" xfId="81" applyFont="1" applyFill="1" applyBorder="1" applyAlignment="1">
      <alignment horizontal="justify" vertical="center"/>
    </xf>
    <xf numFmtId="0" fontId="23" fillId="15" borderId="1" xfId="32" applyFont="1" applyFill="1" applyBorder="1" applyAlignment="1">
      <alignment horizontal="justify" vertical="center"/>
    </xf>
    <xf numFmtId="0" fontId="23" fillId="15" borderId="1" xfId="32" applyFont="1" applyFill="1" applyBorder="1" applyAlignment="1">
      <alignment vertical="center" wrapText="1"/>
    </xf>
    <xf numFmtId="0" fontId="23" fillId="15" borderId="1" xfId="32" applyNumberFormat="1" applyFont="1" applyFill="1" applyBorder="1" applyAlignment="1" applyProtection="1">
      <alignment horizontal="justify" vertical="center"/>
      <protection locked="0"/>
    </xf>
    <xf numFmtId="0" fontId="23" fillId="15" borderId="4" xfId="32" applyNumberFormat="1" applyFont="1" applyFill="1" applyBorder="1" applyAlignment="1" applyProtection="1">
      <alignment horizontal="justify" vertical="center"/>
      <protection locked="0"/>
    </xf>
    <xf numFmtId="0" fontId="23" fillId="15" borderId="1" xfId="81" applyNumberFormat="1" applyFont="1" applyFill="1" applyBorder="1" applyAlignment="1" applyProtection="1">
      <alignment horizontal="justify" vertical="center"/>
      <protection locked="0"/>
    </xf>
    <xf numFmtId="0" fontId="23" fillId="15" borderId="1" xfId="32" applyNumberFormat="1" applyFont="1" applyFill="1" applyBorder="1" applyAlignment="1">
      <alignment horizontal="justify" vertical="center"/>
    </xf>
    <xf numFmtId="0" fontId="12" fillId="2" borderId="1" xfId="78" applyFont="1" applyFill="1" applyBorder="1" applyAlignment="1">
      <alignment horizontal="center" vertical="center" wrapText="1"/>
    </xf>
    <xf numFmtId="0" fontId="12" fillId="2" borderId="1" xfId="77" applyFont="1" applyFill="1" applyBorder="1" applyAlignment="1">
      <alignment horizontal="center" vertical="center" wrapText="1"/>
    </xf>
    <xf numFmtId="0" fontId="9" fillId="12" borderId="1" xfId="82" applyFont="1" applyFill="1" applyBorder="1" applyAlignment="1">
      <alignment horizontal="justify" vertical="center"/>
    </xf>
    <xf numFmtId="0" fontId="40" fillId="0" borderId="1" xfId="0" applyFont="1" applyBorder="1"/>
    <xf numFmtId="0" fontId="12" fillId="0" borderId="1" xfId="0" applyFont="1" applyFill="1" applyBorder="1" applyAlignment="1">
      <alignment horizontal="center" vertical="center"/>
    </xf>
    <xf numFmtId="0" fontId="9" fillId="2" borderId="1" xfId="32" applyNumberFormat="1" applyFont="1" applyFill="1" applyBorder="1" applyAlignment="1" applyProtection="1">
      <alignment horizontal="justify" vertical="center"/>
      <protection locked="0"/>
    </xf>
    <xf numFmtId="0" fontId="12" fillId="2" borderId="1" xfId="81" applyFont="1" applyFill="1" applyBorder="1" applyAlignment="1">
      <alignment horizontal="justify" vertical="center"/>
    </xf>
    <xf numFmtId="0" fontId="12" fillId="2" borderId="1" xfId="0" applyFont="1" applyFill="1" applyBorder="1" applyAlignment="1">
      <alignment horizontal="justify" vertical="center"/>
    </xf>
    <xf numFmtId="0" fontId="23" fillId="3" borderId="5" xfId="32" applyFont="1" applyFill="1" applyBorder="1" applyAlignment="1">
      <alignment horizontal="center" vertical="center" wrapText="1"/>
    </xf>
    <xf numFmtId="0" fontId="23" fillId="12" borderId="4" xfId="32" applyFont="1" applyFill="1" applyBorder="1" applyAlignment="1">
      <alignment horizontal="justify" vertical="center"/>
    </xf>
    <xf numFmtId="0" fontId="23" fillId="2" borderId="1" xfId="52" applyNumberFormat="1" applyFont="1" applyFill="1" applyBorder="1" applyAlignment="1" applyProtection="1">
      <alignment horizontal="justify" vertical="center"/>
      <protection locked="0"/>
    </xf>
    <xf numFmtId="0" fontId="23" fillId="4" borderId="7" xfId="32" applyFont="1" applyFill="1" applyBorder="1" applyAlignment="1">
      <alignment horizontal="justify" vertical="center"/>
    </xf>
    <xf numFmtId="0" fontId="23" fillId="0" borderId="1" xfId="0" applyFont="1" applyBorder="1" applyAlignment="1">
      <alignment horizontal="justify" vertical="center"/>
    </xf>
    <xf numFmtId="0" fontId="23" fillId="16" borderId="1" xfId="0" applyFont="1" applyFill="1" applyBorder="1" applyAlignment="1">
      <alignment horizontal="justify" vertical="center"/>
    </xf>
    <xf numFmtId="0" fontId="23" fillId="6" borderId="9" xfId="0" applyFont="1" applyFill="1" applyBorder="1" applyAlignment="1">
      <alignment horizontal="justify"/>
    </xf>
    <xf numFmtId="0" fontId="23" fillId="6" borderId="10" xfId="0" applyFont="1" applyFill="1" applyBorder="1" applyAlignment="1">
      <alignment horizontal="center"/>
    </xf>
    <xf numFmtId="0" fontId="23" fillId="6" borderId="11" xfId="0" applyFont="1" applyFill="1" applyBorder="1" applyAlignment="1">
      <alignment horizontal="center"/>
    </xf>
    <xf numFmtId="0" fontId="23" fillId="6" borderId="12" xfId="0" applyFont="1" applyFill="1" applyBorder="1" applyAlignment="1">
      <alignment horizontal="center"/>
    </xf>
    <xf numFmtId="0" fontId="23" fillId="17" borderId="1" xfId="0" applyFont="1" applyFill="1" applyBorder="1" applyAlignment="1">
      <alignment horizontal="justify" vertical="center"/>
    </xf>
    <xf numFmtId="0" fontId="28" fillId="0" borderId="13" xfId="0" applyFont="1" applyBorder="1"/>
    <xf numFmtId="0" fontId="23" fillId="17" borderId="2" xfId="0" applyFont="1" applyFill="1" applyBorder="1" applyAlignment="1">
      <alignment horizontal="justify" vertical="center"/>
    </xf>
    <xf numFmtId="0" fontId="23" fillId="0" borderId="1" xfId="0" applyFont="1" applyFill="1" applyBorder="1"/>
    <xf numFmtId="0" fontId="23" fillId="2" borderId="3" xfId="0" applyFont="1" applyFill="1" applyBorder="1" applyAlignment="1">
      <alignment horizontal="justify" vertical="center"/>
    </xf>
    <xf numFmtId="0" fontId="0" fillId="0" borderId="1" xfId="0" applyFill="1" applyBorder="1"/>
    <xf numFmtId="0" fontId="28" fillId="0" borderId="5" xfId="0" applyFont="1" applyFill="1" applyBorder="1"/>
    <xf numFmtId="0" fontId="22" fillId="8" borderId="13" xfId="0" applyFont="1" applyFill="1" applyBorder="1" applyAlignment="1">
      <alignment horizontal="justify" vertical="center"/>
    </xf>
    <xf numFmtId="0" fontId="12" fillId="2" borderId="1" xfId="79" applyFont="1" applyFill="1" applyBorder="1" applyAlignment="1">
      <alignment horizontal="center" vertical="center" wrapText="1"/>
    </xf>
    <xf numFmtId="0" fontId="12" fillId="2" borderId="0" xfId="0" applyFont="1" applyFill="1" applyAlignment="1">
      <alignment horizontal="justify" vertical="center"/>
    </xf>
    <xf numFmtId="0" fontId="23" fillId="14" borderId="1" xfId="32" applyNumberFormat="1" applyFont="1" applyFill="1" applyBorder="1" applyAlignment="1" applyProtection="1">
      <alignment horizontal="center" vertical="center" wrapText="1"/>
      <protection locked="0"/>
    </xf>
    <xf numFmtId="0" fontId="23" fillId="14" borderId="1" xfId="32" applyFont="1" applyFill="1" applyBorder="1" applyAlignment="1">
      <alignment horizontal="center" vertical="center" wrapText="1"/>
    </xf>
    <xf numFmtId="0" fontId="23" fillId="14" borderId="1" xfId="0" applyNumberFormat="1" applyFont="1" applyFill="1" applyBorder="1" applyAlignment="1" applyProtection="1">
      <alignment horizontal="justify" vertical="center"/>
      <protection locked="0"/>
    </xf>
    <xf numFmtId="0" fontId="23" fillId="14" borderId="1" xfId="32" applyNumberFormat="1" applyFont="1" applyFill="1" applyBorder="1" applyAlignment="1" applyProtection="1">
      <alignment horizontal="justify" vertical="center"/>
      <protection locked="0"/>
    </xf>
    <xf numFmtId="0" fontId="23" fillId="14" borderId="1" xfId="0" applyFont="1" applyFill="1" applyBorder="1" applyAlignment="1">
      <alignment horizontal="center" vertical="center" wrapText="1"/>
    </xf>
    <xf numFmtId="0" fontId="23" fillId="14" borderId="5" xfId="53" applyFont="1" applyFill="1" applyBorder="1" applyAlignment="1">
      <alignment horizontal="justify" vertical="center"/>
    </xf>
    <xf numFmtId="0" fontId="23" fillId="14" borderId="1" xfId="32" applyFont="1" applyFill="1" applyBorder="1" applyAlignment="1">
      <alignment horizontal="justify" vertical="center"/>
    </xf>
    <xf numFmtId="0" fontId="23" fillId="14" borderId="1" xfId="47" applyNumberFormat="1" applyFont="1" applyFill="1" applyBorder="1" applyAlignment="1" applyProtection="1">
      <alignment horizontal="justify" vertical="center"/>
      <protection locked="0"/>
    </xf>
    <xf numFmtId="0" fontId="22" fillId="14" borderId="1" xfId="0" applyFont="1" applyFill="1" applyBorder="1" applyAlignment="1">
      <alignment horizontal="center" vertical="center" wrapText="1"/>
    </xf>
    <xf numFmtId="0" fontId="23" fillId="14" borderId="1" xfId="32" applyFont="1" applyFill="1" applyBorder="1" applyAlignment="1">
      <alignment horizontal="justify" vertical="center" wrapText="1"/>
    </xf>
    <xf numFmtId="0" fontId="22" fillId="14" borderId="1" xfId="32" applyFont="1" applyFill="1" applyBorder="1" applyAlignment="1">
      <alignment horizontal="justify" vertical="center"/>
    </xf>
    <xf numFmtId="0" fontId="23" fillId="4" borderId="4" xfId="46" applyFont="1" applyFill="1" applyBorder="1" applyAlignment="1">
      <alignment horizontal="justify" vertical="center"/>
    </xf>
    <xf numFmtId="0" fontId="22" fillId="14" borderId="1" xfId="0" applyFont="1" applyFill="1" applyBorder="1" applyAlignment="1">
      <alignment horizontal="justify" vertical="center" wrapText="1"/>
    </xf>
    <xf numFmtId="16" fontId="23" fillId="14" borderId="1" xfId="0" applyNumberFormat="1" applyFont="1" applyFill="1" applyBorder="1" applyAlignment="1" applyProtection="1">
      <alignment horizontal="justify" vertical="center"/>
      <protection locked="0"/>
    </xf>
    <xf numFmtId="0" fontId="22" fillId="14" borderId="1" xfId="0" applyFont="1" applyFill="1" applyBorder="1" applyAlignment="1">
      <alignment horizontal="justify" vertical="center"/>
    </xf>
    <xf numFmtId="0" fontId="23" fillId="0" borderId="3" xfId="0" applyFont="1" applyFill="1" applyBorder="1" applyAlignment="1">
      <alignment horizontal="justify" vertical="center"/>
    </xf>
    <xf numFmtId="0" fontId="23" fillId="0" borderId="0" xfId="0" applyFont="1" applyFill="1" applyBorder="1" applyAlignment="1">
      <alignment horizontal="center"/>
    </xf>
    <xf numFmtId="0" fontId="23" fillId="0" borderId="0" xfId="0" applyFont="1" applyFill="1" applyBorder="1" applyAlignment="1">
      <alignment horizontal="justify" vertical="center"/>
    </xf>
    <xf numFmtId="0" fontId="9" fillId="18" borderId="1" xfId="0" applyFont="1" applyFill="1" applyBorder="1" applyAlignment="1">
      <alignment horizontal="center" vertical="center" wrapText="1"/>
    </xf>
    <xf numFmtId="0" fontId="9" fillId="14" borderId="1" xfId="0" applyFont="1" applyFill="1" applyBorder="1" applyAlignment="1">
      <alignment horizontal="justify" vertical="center"/>
    </xf>
    <xf numFmtId="3" fontId="0" fillId="0" borderId="0" xfId="0" applyNumberFormat="1" applyFill="1" applyBorder="1"/>
    <xf numFmtId="0" fontId="23" fillId="14" borderId="1" xfId="61" applyNumberFormat="1" applyFont="1" applyFill="1" applyBorder="1" applyAlignment="1" applyProtection="1">
      <alignment horizontal="justify" vertical="center"/>
      <protection locked="0"/>
    </xf>
    <xf numFmtId="14" fontId="17" fillId="0" borderId="0" xfId="0" applyNumberFormat="1" applyFont="1" applyAlignment="1">
      <alignment horizontal="center" vertical="center" wrapText="1"/>
    </xf>
    <xf numFmtId="165" fontId="23" fillId="0" borderId="3" xfId="2" applyNumberFormat="1" applyFont="1" applyFill="1" applyBorder="1" applyAlignment="1">
      <alignment horizontal="center" vertical="center" wrapText="1"/>
    </xf>
    <xf numFmtId="0" fontId="41" fillId="0" borderId="1" xfId="0" applyFont="1" applyFill="1" applyBorder="1" applyAlignment="1">
      <alignment horizontal="justify" vertical="center"/>
    </xf>
    <xf numFmtId="0" fontId="41" fillId="0" borderId="7" xfId="0" applyFont="1" applyFill="1" applyBorder="1" applyAlignment="1">
      <alignment horizontal="justify" vertical="center"/>
    </xf>
    <xf numFmtId="0" fontId="41" fillId="0" borderId="4" xfId="0" applyFont="1" applyFill="1" applyBorder="1" applyAlignment="1">
      <alignment horizontal="justify" vertical="center"/>
    </xf>
    <xf numFmtId="0" fontId="41" fillId="0" borderId="1" xfId="0" applyNumberFormat="1" applyFont="1" applyFill="1" applyBorder="1" applyAlignment="1">
      <alignment horizontal="justify" vertical="center"/>
    </xf>
    <xf numFmtId="0" fontId="23" fillId="0" borderId="1" xfId="33" applyFont="1" applyFill="1" applyBorder="1" applyAlignment="1">
      <alignment horizontal="justify" vertical="center"/>
    </xf>
    <xf numFmtId="0" fontId="41" fillId="0" borderId="1" xfId="35" applyFont="1" applyFill="1" applyBorder="1" applyAlignment="1">
      <alignment horizontal="justify" vertical="center"/>
    </xf>
    <xf numFmtId="0" fontId="41" fillId="0" borderId="4" xfId="26" applyFont="1" applyFill="1" applyBorder="1" applyAlignment="1">
      <alignment horizontal="justify" vertical="center"/>
    </xf>
    <xf numFmtId="0" fontId="23" fillId="0" borderId="4" xfId="26" applyFont="1" applyFill="1" applyBorder="1" applyAlignment="1">
      <alignment horizontal="justify" vertical="center"/>
    </xf>
    <xf numFmtId="0" fontId="23" fillId="0" borderId="1" xfId="26" applyFont="1" applyFill="1" applyBorder="1" applyAlignment="1">
      <alignment horizontal="justify" vertical="center"/>
    </xf>
    <xf numFmtId="0" fontId="38" fillId="0" borderId="1" xfId="0" applyFont="1" applyFill="1" applyBorder="1" applyAlignment="1">
      <alignment horizontal="justify" vertical="center"/>
    </xf>
    <xf numFmtId="0" fontId="15" fillId="0" borderId="1" xfId="0" applyFont="1" applyFill="1" applyBorder="1" applyAlignment="1">
      <alignment horizontal="justify" vertical="center"/>
    </xf>
    <xf numFmtId="0" fontId="28" fillId="0" borderId="1" xfId="0" applyFont="1" applyFill="1" applyBorder="1" applyAlignment="1">
      <alignment horizontal="justify" vertical="center"/>
    </xf>
    <xf numFmtId="0" fontId="23" fillId="0" borderId="14" xfId="0" applyFont="1" applyFill="1" applyBorder="1" applyAlignment="1">
      <alignment horizontal="justify" vertical="center"/>
    </xf>
    <xf numFmtId="0" fontId="23" fillId="0" borderId="1" xfId="0" applyFont="1" applyFill="1" applyBorder="1" applyAlignment="1">
      <alignment horizontal="justify"/>
    </xf>
    <xf numFmtId="0" fontId="23" fillId="0" borderId="6" xfId="0" applyFont="1" applyFill="1" applyBorder="1" applyAlignment="1">
      <alignment horizontal="justify" vertical="center"/>
    </xf>
    <xf numFmtId="0" fontId="22" fillId="0" borderId="5" xfId="0" applyFont="1" applyFill="1" applyBorder="1" applyAlignment="1">
      <alignment horizontal="justify" vertical="center"/>
    </xf>
    <xf numFmtId="0" fontId="28" fillId="0" borderId="15" xfId="0" applyFont="1" applyFill="1" applyBorder="1"/>
    <xf numFmtId="0" fontId="23" fillId="6" borderId="1" xfId="0" applyFont="1" applyFill="1" applyBorder="1" applyAlignment="1">
      <alignment horizontal="center"/>
    </xf>
    <xf numFmtId="0" fontId="28" fillId="0" borderId="1" xfId="0" applyFont="1" applyFill="1" applyBorder="1"/>
    <xf numFmtId="0" fontId="9" fillId="0" borderId="3" xfId="32" applyNumberFormat="1" applyFont="1" applyFill="1" applyBorder="1" applyAlignment="1" applyProtection="1">
      <alignment horizontal="justify" vertical="center"/>
      <protection locked="0"/>
    </xf>
    <xf numFmtId="0" fontId="23" fillId="19" borderId="1" xfId="37" applyFont="1" applyFill="1" applyBorder="1" applyAlignment="1">
      <alignment horizontal="justify" vertical="center"/>
    </xf>
    <xf numFmtId="0" fontId="23" fillId="6" borderId="1" xfId="37" applyFont="1" applyFill="1" applyBorder="1" applyAlignment="1">
      <alignment horizontal="justify" vertical="center"/>
    </xf>
    <xf numFmtId="0" fontId="23" fillId="10" borderId="1" xfId="0" applyFont="1" applyFill="1" applyBorder="1" applyAlignment="1">
      <alignment horizontal="justify" vertical="center"/>
    </xf>
    <xf numFmtId="0" fontId="23" fillId="20" borderId="1" xfId="0" applyFont="1" applyFill="1" applyBorder="1" applyAlignment="1">
      <alignment horizontal="justify" vertical="center"/>
    </xf>
    <xf numFmtId="0" fontId="23" fillId="19" borderId="0" xfId="0" applyFont="1" applyFill="1" applyBorder="1" applyAlignment="1">
      <alignment horizontal="justify" vertical="center"/>
    </xf>
    <xf numFmtId="0" fontId="23" fillId="9" borderId="0" xfId="0" applyFont="1" applyFill="1" applyBorder="1" applyAlignment="1">
      <alignment horizontal="justify" vertical="center"/>
    </xf>
    <xf numFmtId="0" fontId="23" fillId="6" borderId="1" xfId="17" applyFont="1" applyFill="1" applyBorder="1" applyAlignment="1" applyProtection="1">
      <alignment horizontal="justify" vertical="center" wrapText="1"/>
    </xf>
    <xf numFmtId="0" fontId="23" fillId="21" borderId="1" xfId="0" applyFont="1" applyFill="1" applyBorder="1" applyAlignment="1">
      <alignment horizontal="justify" vertical="center"/>
    </xf>
    <xf numFmtId="3" fontId="41" fillId="0" borderId="4" xfId="32" applyNumberFormat="1" applyFont="1" applyFill="1" applyBorder="1" applyAlignment="1">
      <alignment horizontal="center" vertical="center"/>
    </xf>
    <xf numFmtId="0" fontId="41" fillId="2" borderId="4" xfId="0" applyNumberFormat="1" applyFont="1" applyFill="1" applyBorder="1" applyAlignment="1">
      <alignment horizontal="justify" vertical="center"/>
    </xf>
    <xf numFmtId="0" fontId="23" fillId="22" borderId="7" xfId="32" applyFont="1" applyFill="1" applyBorder="1" applyAlignment="1">
      <alignment horizontal="justify" vertical="center"/>
    </xf>
    <xf numFmtId="0" fontId="22" fillId="0" borderId="1" xfId="84" applyFont="1" applyFill="1" applyBorder="1" applyAlignment="1">
      <alignment horizontal="center" vertical="center" wrapText="1"/>
    </xf>
    <xf numFmtId="165" fontId="23" fillId="23" borderId="4" xfId="2" applyNumberFormat="1" applyFont="1" applyFill="1" applyBorder="1" applyAlignment="1">
      <alignment horizontal="center" vertical="center" wrapText="1"/>
    </xf>
    <xf numFmtId="0" fontId="23" fillId="22" borderId="4" xfId="56" applyNumberFormat="1" applyFont="1" applyFill="1" applyBorder="1" applyAlignment="1" applyProtection="1">
      <alignment horizontal="justify" vertical="center"/>
      <protection locked="0"/>
    </xf>
    <xf numFmtId="0" fontId="23" fillId="2" borderId="16" xfId="0" applyFont="1" applyFill="1" applyBorder="1" applyAlignment="1">
      <alignment horizontal="justify" vertical="center"/>
    </xf>
    <xf numFmtId="0" fontId="9" fillId="24" borderId="1" xfId="46" applyFont="1" applyFill="1" applyBorder="1" applyAlignment="1">
      <alignment horizontal="justify" vertical="center"/>
    </xf>
    <xf numFmtId="0" fontId="23" fillId="23" borderId="1" xfId="32" applyFont="1" applyFill="1" applyBorder="1" applyAlignment="1">
      <alignment horizontal="justify" vertical="center"/>
    </xf>
    <xf numFmtId="0" fontId="22" fillId="0" borderId="1" xfId="85" applyFont="1" applyFill="1" applyBorder="1" applyAlignment="1">
      <alignment horizontal="justify" vertical="center" wrapText="1"/>
    </xf>
    <xf numFmtId="0" fontId="23" fillId="25" borderId="5" xfId="32" applyFont="1" applyFill="1" applyBorder="1" applyAlignment="1">
      <alignment horizontal="justify" vertical="center"/>
    </xf>
    <xf numFmtId="0" fontId="23" fillId="23" borderId="4" xfId="46" applyFont="1" applyFill="1" applyBorder="1" applyAlignment="1">
      <alignment horizontal="justify" vertical="center"/>
    </xf>
    <xf numFmtId="14" fontId="23" fillId="0" borderId="0" xfId="32" applyNumberFormat="1" applyFont="1" applyFill="1" applyBorder="1" applyAlignment="1">
      <alignment horizontal="justify" vertical="center"/>
    </xf>
    <xf numFmtId="0" fontId="23" fillId="0" borderId="1" xfId="32" applyNumberFormat="1" applyFont="1" applyFill="1" applyBorder="1" applyAlignment="1" applyProtection="1">
      <alignment horizontal="left" vertical="center" wrapText="1"/>
      <protection locked="0"/>
    </xf>
    <xf numFmtId="0" fontId="23" fillId="4" borderId="1" xfId="32" applyNumberFormat="1" applyFont="1" applyFill="1" applyBorder="1" applyAlignment="1" applyProtection="1">
      <alignment horizontal="center" vertical="center" wrapText="1"/>
      <protection locked="0"/>
    </xf>
    <xf numFmtId="0" fontId="22" fillId="22" borderId="1" xfId="0" applyFont="1" applyFill="1" applyBorder="1" applyAlignment="1">
      <alignment horizontal="justify" vertical="center"/>
    </xf>
    <xf numFmtId="0" fontId="9" fillId="26" borderId="1" xfId="17" applyFont="1" applyFill="1" applyBorder="1" applyAlignment="1" applyProtection="1">
      <alignment horizontal="justify" vertical="center" wrapText="1"/>
    </xf>
    <xf numFmtId="0" fontId="9" fillId="26" borderId="1" xfId="0" applyFont="1" applyFill="1" applyBorder="1" applyAlignment="1">
      <alignment horizontal="justify" vertical="center"/>
    </xf>
    <xf numFmtId="0" fontId="23" fillId="23" borderId="4" xfId="32" applyFont="1" applyFill="1" applyBorder="1" applyAlignment="1">
      <alignment horizontal="justify" vertical="center"/>
    </xf>
    <xf numFmtId="0" fontId="22" fillId="22" borderId="4" xfId="0" applyFont="1" applyFill="1" applyBorder="1" applyAlignment="1">
      <alignment horizontal="justify" vertical="center"/>
    </xf>
    <xf numFmtId="0" fontId="23" fillId="0" borderId="1" xfId="61" applyNumberFormat="1" applyFont="1" applyFill="1" applyBorder="1" applyAlignment="1" applyProtection="1">
      <alignment horizontal="justify" vertical="center"/>
      <protection locked="0"/>
    </xf>
    <xf numFmtId="0" fontId="23" fillId="22" borderId="1" xfId="32" applyFont="1" applyFill="1" applyBorder="1" applyAlignment="1">
      <alignment horizontal="justify" vertical="center"/>
    </xf>
    <xf numFmtId="0" fontId="23" fillId="23" borderId="1" xfId="46" applyFont="1" applyFill="1" applyBorder="1" applyAlignment="1">
      <alignment horizontal="justify" vertical="center"/>
    </xf>
    <xf numFmtId="0" fontId="23" fillId="25" borderId="3" xfId="32" applyFont="1" applyFill="1" applyBorder="1" applyAlignment="1">
      <alignment horizontal="justify" vertical="center"/>
    </xf>
    <xf numFmtId="0" fontId="23" fillId="22" borderId="1" xfId="0" applyNumberFormat="1" applyFont="1" applyFill="1" applyBorder="1" applyAlignment="1" applyProtection="1">
      <alignment horizontal="center" vertical="center" wrapText="1"/>
      <protection locked="0"/>
    </xf>
    <xf numFmtId="0" fontId="23" fillId="22" borderId="4" xfId="32" applyFont="1" applyFill="1" applyBorder="1" applyAlignment="1">
      <alignment horizontal="justify" vertical="center"/>
    </xf>
    <xf numFmtId="0" fontId="46" fillId="0" borderId="1" xfId="0" applyFont="1" applyFill="1" applyBorder="1" applyAlignment="1">
      <alignment horizontal="justify" vertical="center"/>
    </xf>
    <xf numFmtId="0" fontId="23" fillId="0" borderId="0" xfId="32" applyNumberFormat="1" applyFont="1" applyFill="1" applyBorder="1" applyAlignment="1" applyProtection="1">
      <alignment horizontal="justify" vertical="center"/>
      <protection locked="0"/>
    </xf>
    <xf numFmtId="0" fontId="41" fillId="0" borderId="1" xfId="32" applyNumberFormat="1" applyFont="1" applyFill="1" applyBorder="1" applyAlignment="1" applyProtection="1">
      <alignment horizontal="justify" vertical="center"/>
      <protection locked="0"/>
    </xf>
    <xf numFmtId="0" fontId="23" fillId="0" borderId="1" xfId="86" applyFont="1" applyFill="1" applyBorder="1" applyAlignment="1">
      <alignment horizontal="justify" vertical="center"/>
    </xf>
    <xf numFmtId="0" fontId="41" fillId="0" borderId="1" xfId="81" applyFont="1" applyFill="1" applyBorder="1" applyAlignment="1">
      <alignment horizontal="justify" vertical="center"/>
    </xf>
    <xf numFmtId="0" fontId="46" fillId="0" borderId="1" xfId="81" applyFont="1" applyFill="1" applyBorder="1" applyAlignment="1">
      <alignment horizontal="justify" vertical="center"/>
    </xf>
    <xf numFmtId="0" fontId="23" fillId="0" borderId="1" xfId="32" applyFont="1" applyFill="1" applyBorder="1" applyAlignment="1">
      <alignment horizontal="center" vertical="center" wrapText="1"/>
    </xf>
    <xf numFmtId="0" fontId="23" fillId="0" borderId="1" xfId="53" applyNumberFormat="1" applyFont="1" applyFill="1" applyBorder="1" applyAlignment="1" applyProtection="1">
      <alignment horizontal="justify" vertical="center"/>
      <protection locked="0"/>
    </xf>
    <xf numFmtId="0" fontId="23" fillId="0" borderId="1" xfId="87" applyFont="1" applyFill="1" applyBorder="1" applyAlignment="1">
      <alignment horizontal="justify" vertical="center"/>
    </xf>
    <xf numFmtId="0" fontId="23" fillId="0" borderId="1" xfId="88" applyFont="1" applyFill="1" applyBorder="1" applyAlignment="1">
      <alignment horizontal="justify" vertical="center"/>
    </xf>
    <xf numFmtId="0" fontId="9" fillId="24" borderId="1" xfId="32" applyNumberFormat="1" applyFont="1" applyFill="1" applyBorder="1" applyAlignment="1" applyProtection="1">
      <alignment horizontal="justify" vertical="center"/>
      <protection locked="0"/>
    </xf>
    <xf numFmtId="0" fontId="9" fillId="26" borderId="1" xfId="32" applyNumberFormat="1" applyFont="1" applyFill="1" applyBorder="1" applyAlignment="1" applyProtection="1">
      <alignment horizontal="center" vertical="center" wrapText="1"/>
      <protection locked="0"/>
    </xf>
  </cellXfs>
  <cellStyles count="89">
    <cellStyle name="Comma" xfId="1" builtinId="3"/>
    <cellStyle name="Comma 2" xfId="2"/>
    <cellStyle name="Comma 3" xfId="3"/>
    <cellStyle name="Comma 3 2" xfId="4"/>
    <cellStyle name="Comma 3 3" xfId="5"/>
    <cellStyle name="Comma 4" xfId="6"/>
    <cellStyle name="Comma 6" xfId="7"/>
    <cellStyle name="Comma 6 2" xfId="8"/>
    <cellStyle name="Comma 6 2 2" xfId="9"/>
    <cellStyle name="Comma 6 3" xfId="10"/>
    <cellStyle name="Currency" xfId="11" builtinId="4"/>
    <cellStyle name="Currency 2" xfId="12"/>
    <cellStyle name="Currency 3" xfId="13"/>
    <cellStyle name="Hyperlink 2" xfId="14"/>
    <cellStyle name="Hyperlink 2 2" xfId="15"/>
    <cellStyle name="Hyperlink 2_Sheet1" xfId="16"/>
    <cellStyle name="Hyperlink 3" xfId="17"/>
    <cellStyle name="Hyperlink 3 2" xfId="18"/>
    <cellStyle name="Hyperlink 3_QUOTES" xfId="19"/>
    <cellStyle name="Hyperlink 5" xfId="20"/>
    <cellStyle name="Hyperlink 5 2" xfId="21"/>
    <cellStyle name="Hyperlink 5_Sheet1" xfId="22"/>
    <cellStyle name="Hyperlink 7" xfId="23"/>
    <cellStyle name="Hyperlink 7 2" xfId="24"/>
    <cellStyle name="Hyperlink 7_Sheet1" xfId="25"/>
    <cellStyle name="Normal" xfId="0" builtinId="0"/>
    <cellStyle name="Normal 10" xfId="26"/>
    <cellStyle name="Normal 11" xfId="27"/>
    <cellStyle name="Normal 12" xfId="28"/>
    <cellStyle name="Normal 12 2" xfId="29"/>
    <cellStyle name="Normal 12 3" xfId="30"/>
    <cellStyle name="Normal 12_JOBS IN THE PIPELINE" xfId="31"/>
    <cellStyle name="Normal 13" xfId="32"/>
    <cellStyle name="Normal 14" xfId="33"/>
    <cellStyle name="Normal 15" xfId="34"/>
    <cellStyle name="Normal 15 2" xfId="88"/>
    <cellStyle name="Normal 16" xfId="35"/>
    <cellStyle name="Normal 17" xfId="36"/>
    <cellStyle name="Normal 18" xfId="37"/>
    <cellStyle name="Normal 2" xfId="38"/>
    <cellStyle name="Normal 2 2" xfId="39"/>
    <cellStyle name="Normal 2 2 2" xfId="40"/>
    <cellStyle name="Normal 2 2 3" xfId="41"/>
    <cellStyle name="Normal 2 2_JOBS IN THE PIPELINE" xfId="42"/>
    <cellStyle name="Normal 2 3" xfId="43"/>
    <cellStyle name="Normal 2 4" xfId="44"/>
    <cellStyle name="Normal 2_APPOINTMENTS" xfId="45"/>
    <cellStyle name="Normal 3" xfId="46"/>
    <cellStyle name="Normal 3 2" xfId="86"/>
    <cellStyle name="Normal 4" xfId="47"/>
    <cellStyle name="Normal 4 2" xfId="48"/>
    <cellStyle name="Normal 4 2 2" xfId="49"/>
    <cellStyle name="Normal 4 2 3" xfId="50"/>
    <cellStyle name="Normal 4 2_JOBS IN THE PIPELINE" xfId="51"/>
    <cellStyle name="Normal 4 3" xfId="52"/>
    <cellStyle name="Normal 4 3 2" xfId="87"/>
    <cellStyle name="Normal 4 4" xfId="53"/>
    <cellStyle name="Normal 4 5" xfId="54"/>
    <cellStyle name="Normal 4_APPOINTMENTS" xfId="55"/>
    <cellStyle name="Normal 5" xfId="56"/>
    <cellStyle name="Normal 5 2" xfId="57"/>
    <cellStyle name="Normal 5 2 2" xfId="58"/>
    <cellStyle name="Normal 5 2 3" xfId="59"/>
    <cellStyle name="Normal 5 2_JOBS IN THE PIPELINE" xfId="60"/>
    <cellStyle name="Normal 5 3" xfId="61"/>
    <cellStyle name="Normal 5 4" xfId="62"/>
    <cellStyle name="Normal 5_APPOINTMENTS" xfId="63"/>
    <cellStyle name="Normal 5_Sheet1" xfId="64"/>
    <cellStyle name="Normal 6" xfId="65"/>
    <cellStyle name="Normal 7" xfId="66"/>
    <cellStyle name="Normal 7 2" xfId="67"/>
    <cellStyle name="Normal 7 2 2" xfId="68"/>
    <cellStyle name="Normal 7 2 3" xfId="69"/>
    <cellStyle name="Normal 7 2_JOBS IN THE PIPELINE" xfId="70"/>
    <cellStyle name="Normal 7 3" xfId="71"/>
    <cellStyle name="Normal 7 4" xfId="72"/>
    <cellStyle name="Normal 7 5" xfId="73"/>
    <cellStyle name="Normal 7_APPOINTMENTS" xfId="74"/>
    <cellStyle name="Normal 8" xfId="75"/>
    <cellStyle name="Normal 9" xfId="76"/>
    <cellStyle name="Normal_NIGERIA AND GHANA" xfId="85"/>
    <cellStyle name="Normal_NIGERIA AND GHANA_1_Sheet1_Sheet1_1" xfId="84"/>
    <cellStyle name="Normal_NIGERIA AND GHANA_1_Sheet1_Sheet1_1_QUOTES" xfId="77"/>
    <cellStyle name="Normal_NIGERIA AND GHANA_1_Sheet1_Sheet1_QUOTES" xfId="78"/>
    <cellStyle name="Normal_NIGERIA AND GHANA_1_Sheet1_Sheet1_QUOTES_QUOTES" xfId="79"/>
    <cellStyle name="Normal_NIGERIA AND GHANA_1_Sheet1_Sheet1_Sheet1" xfId="80"/>
    <cellStyle name="Normal_Sheet1" xfId="81"/>
    <cellStyle name="Normal_Sheet1_QUOTES" xfId="82"/>
    <cellStyle name="Percent 2" xfId="83"/>
  </cellStyles>
  <dxfs count="0"/>
  <tableStyles count="0" defaultTableStyle="TableStyleMedium9" defaultPivotStyle="PivotStyleLight16"/>
  <colors>
    <mruColors>
      <color rgb="FF33CCFF"/>
      <color rgb="FF339966"/>
      <color rgb="FF339933"/>
      <color rgb="FF33CC33"/>
      <color rgb="FF009900"/>
      <color rgb="FFFF33CC"/>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63"/>
  <sheetViews>
    <sheetView workbookViewId="0"/>
  </sheetViews>
  <sheetFormatPr defaultRowHeight="15" x14ac:dyDescent="0.25"/>
  <cols>
    <col min="1" max="1" width="10.85546875" customWidth="1"/>
    <col min="2" max="2" width="18.5703125" customWidth="1"/>
    <col min="3" max="3" width="29.5703125" customWidth="1"/>
    <col min="4" max="4" width="48" customWidth="1"/>
    <col min="5" max="5" width="37.7109375" customWidth="1"/>
  </cols>
  <sheetData>
    <row r="1" spans="1:9" s="75" customFormat="1" ht="19.5" x14ac:dyDescent="0.2">
      <c r="A1" s="86"/>
      <c r="B1" s="86" t="s">
        <v>487</v>
      </c>
      <c r="C1" s="241" t="s">
        <v>622</v>
      </c>
      <c r="D1" s="77"/>
      <c r="E1" s="78"/>
    </row>
    <row r="2" spans="1:9" s="75" customFormat="1" ht="11.25" x14ac:dyDescent="0.2">
      <c r="A2" s="77"/>
      <c r="B2" s="76"/>
      <c r="C2" s="77"/>
      <c r="D2" s="77"/>
      <c r="E2" s="78"/>
    </row>
    <row r="3" spans="1:9" s="75" customFormat="1" ht="11.25" x14ac:dyDescent="0.2">
      <c r="A3" s="134">
        <v>1</v>
      </c>
      <c r="B3" s="79"/>
      <c r="C3" s="134"/>
      <c r="D3" s="137" t="s">
        <v>314</v>
      </c>
      <c r="E3" s="81"/>
    </row>
    <row r="4" spans="1:9" s="75" customFormat="1" ht="11.25" x14ac:dyDescent="0.2">
      <c r="A4" s="134">
        <v>2</v>
      </c>
      <c r="B4" s="80"/>
      <c r="C4" s="134"/>
      <c r="D4" s="135" t="s">
        <v>316</v>
      </c>
      <c r="E4" s="81"/>
    </row>
    <row r="5" spans="1:9" s="75" customFormat="1" ht="11.25" x14ac:dyDescent="0.2">
      <c r="A5" s="133">
        <v>3</v>
      </c>
      <c r="B5" s="82"/>
      <c r="C5" s="133"/>
      <c r="D5" s="132" t="s">
        <v>315</v>
      </c>
      <c r="E5" s="83"/>
    </row>
    <row r="6" spans="1:9" s="75" customFormat="1" ht="11.25" x14ac:dyDescent="0.2">
      <c r="A6" s="133">
        <v>4</v>
      </c>
      <c r="B6" s="84"/>
      <c r="C6" s="133"/>
      <c r="D6" s="131" t="s">
        <v>354</v>
      </c>
      <c r="E6" s="83"/>
    </row>
    <row r="7" spans="1:9" s="75" customFormat="1" ht="11.25" x14ac:dyDescent="0.2">
      <c r="A7" s="133">
        <v>5</v>
      </c>
      <c r="B7" s="85"/>
      <c r="C7" s="133"/>
      <c r="D7" s="136"/>
      <c r="E7" s="83"/>
    </row>
    <row r="8" spans="1:9" s="75" customFormat="1" ht="11.25" x14ac:dyDescent="0.2">
      <c r="A8" s="133">
        <v>6</v>
      </c>
      <c r="B8" s="168" t="s">
        <v>487</v>
      </c>
      <c r="C8" s="133"/>
      <c r="D8" s="169" t="s">
        <v>224</v>
      </c>
      <c r="E8" s="83"/>
    </row>
    <row r="9" spans="1:9" ht="16.5" customHeight="1" x14ac:dyDescent="0.25">
      <c r="A9" s="32" t="s">
        <v>211</v>
      </c>
      <c r="B9" s="33" t="s">
        <v>47</v>
      </c>
      <c r="C9" s="32" t="s">
        <v>48</v>
      </c>
      <c r="D9" s="32" t="s">
        <v>49</v>
      </c>
      <c r="E9" s="34" t="s">
        <v>50</v>
      </c>
    </row>
    <row r="10" spans="1:9" s="75" customFormat="1" ht="11.25" x14ac:dyDescent="0.2">
      <c r="A10" s="77"/>
      <c r="B10" s="76"/>
      <c r="C10" s="77"/>
      <c r="D10" s="77"/>
      <c r="E10" s="78"/>
    </row>
    <row r="11" spans="1:9" ht="99.95" customHeight="1" x14ac:dyDescent="0.25">
      <c r="A11" s="165" t="s">
        <v>51</v>
      </c>
      <c r="B11" s="103" t="s">
        <v>414</v>
      </c>
      <c r="C11" s="145" t="s">
        <v>405</v>
      </c>
      <c r="D11" s="98" t="s">
        <v>247</v>
      </c>
      <c r="E11" s="279" t="s">
        <v>248</v>
      </c>
    </row>
    <row r="12" spans="1:9" ht="99.95" customHeight="1" x14ac:dyDescent="0.25">
      <c r="A12" s="164" t="s">
        <v>473</v>
      </c>
      <c r="B12" s="130" t="s">
        <v>212</v>
      </c>
      <c r="C12" s="180" t="s">
        <v>474</v>
      </c>
      <c r="D12" s="130" t="s">
        <v>578</v>
      </c>
      <c r="E12" s="209" t="s">
        <v>579</v>
      </c>
      <c r="H12" s="1"/>
      <c r="I12" s="1"/>
    </row>
    <row r="13" spans="1:9" ht="99.95" customHeight="1" x14ac:dyDescent="0.25">
      <c r="A13" s="164" t="s">
        <v>51</v>
      </c>
      <c r="B13" s="130" t="s">
        <v>344</v>
      </c>
      <c r="C13" s="290" t="s">
        <v>345</v>
      </c>
      <c r="D13" s="130"/>
      <c r="E13" s="209"/>
      <c r="H13" s="109"/>
      <c r="I13" s="1"/>
    </row>
    <row r="14" spans="1:9" ht="99.95" customHeight="1" x14ac:dyDescent="0.25">
      <c r="A14" s="164" t="s">
        <v>51</v>
      </c>
      <c r="B14" s="109" t="s">
        <v>694</v>
      </c>
      <c r="C14" s="149" t="s">
        <v>695</v>
      </c>
      <c r="D14" s="109" t="s">
        <v>696</v>
      </c>
      <c r="E14" s="209"/>
      <c r="H14" s="358"/>
      <c r="I14" s="1"/>
    </row>
    <row r="15" spans="1:9" ht="99.95" customHeight="1" x14ac:dyDescent="0.25">
      <c r="A15" s="164" t="s">
        <v>51</v>
      </c>
      <c r="B15" s="109" t="s">
        <v>697</v>
      </c>
      <c r="C15" s="333" t="s">
        <v>698</v>
      </c>
      <c r="D15" s="87" t="s">
        <v>699</v>
      </c>
      <c r="E15" s="209"/>
      <c r="H15" s="358"/>
      <c r="I15" s="1"/>
    </row>
    <row r="16" spans="1:9" ht="99.95" customHeight="1" x14ac:dyDescent="0.25">
      <c r="A16" s="164" t="s">
        <v>51</v>
      </c>
      <c r="B16" s="109" t="s">
        <v>700</v>
      </c>
      <c r="C16" s="145" t="s">
        <v>701</v>
      </c>
      <c r="D16" s="334" t="s">
        <v>702</v>
      </c>
      <c r="E16" s="209"/>
      <c r="H16" s="358"/>
      <c r="I16" s="1"/>
    </row>
    <row r="17" spans="1:5" ht="168" customHeight="1" x14ac:dyDescent="0.25">
      <c r="A17" s="164" t="s">
        <v>51</v>
      </c>
      <c r="B17" s="130" t="s">
        <v>547</v>
      </c>
      <c r="C17" s="290" t="s">
        <v>549</v>
      </c>
      <c r="D17" s="98" t="s">
        <v>548</v>
      </c>
      <c r="E17" s="209"/>
    </row>
    <row r="18" spans="1:5" ht="99.95" customHeight="1" x14ac:dyDescent="0.25">
      <c r="A18" s="164" t="s">
        <v>51</v>
      </c>
      <c r="B18" s="130" t="s">
        <v>523</v>
      </c>
      <c r="C18" s="290" t="s">
        <v>524</v>
      </c>
      <c r="D18" s="190" t="s">
        <v>792</v>
      </c>
      <c r="E18" s="209"/>
    </row>
    <row r="19" spans="1:5" ht="99.95" customHeight="1" x14ac:dyDescent="0.25">
      <c r="A19" s="164" t="s">
        <v>51</v>
      </c>
      <c r="B19" s="103" t="s">
        <v>273</v>
      </c>
      <c r="C19" s="148" t="s">
        <v>14</v>
      </c>
      <c r="D19" s="98" t="s">
        <v>543</v>
      </c>
      <c r="E19" s="188" t="s">
        <v>67</v>
      </c>
    </row>
    <row r="20" spans="1:5" ht="124.5" customHeight="1" x14ac:dyDescent="0.25">
      <c r="A20" s="164" t="s">
        <v>51</v>
      </c>
      <c r="B20" s="109" t="s">
        <v>703</v>
      </c>
      <c r="C20" s="335" t="s">
        <v>704</v>
      </c>
      <c r="D20" s="98" t="s">
        <v>705</v>
      </c>
      <c r="E20" s="188"/>
    </row>
    <row r="21" spans="1:5" ht="99.95" customHeight="1" x14ac:dyDescent="0.25">
      <c r="A21" s="164" t="s">
        <v>51</v>
      </c>
      <c r="B21" s="216" t="s">
        <v>408</v>
      </c>
      <c r="C21" s="215" t="s">
        <v>455</v>
      </c>
      <c r="D21" s="120" t="s">
        <v>456</v>
      </c>
      <c r="E21" s="197" t="s">
        <v>457</v>
      </c>
    </row>
    <row r="22" spans="1:5" ht="99.95" customHeight="1" x14ac:dyDescent="0.25">
      <c r="A22" s="167" t="s">
        <v>51</v>
      </c>
      <c r="B22" s="103" t="s">
        <v>243</v>
      </c>
      <c r="C22" s="148" t="s">
        <v>246</v>
      </c>
      <c r="D22" s="87" t="s">
        <v>17</v>
      </c>
      <c r="E22" s="280" t="s">
        <v>650</v>
      </c>
    </row>
    <row r="23" spans="1:5" ht="99.95" customHeight="1" x14ac:dyDescent="0.25">
      <c r="A23" s="167" t="s">
        <v>51</v>
      </c>
      <c r="B23" s="163" t="s">
        <v>706</v>
      </c>
      <c r="C23" s="151" t="s">
        <v>707</v>
      </c>
      <c r="D23" s="87" t="s">
        <v>708</v>
      </c>
      <c r="E23" s="280"/>
    </row>
    <row r="24" spans="1:5" s="150" customFormat="1" ht="99.95" customHeight="1" x14ac:dyDescent="0.25">
      <c r="A24" s="165" t="s">
        <v>51</v>
      </c>
      <c r="B24" s="109" t="s">
        <v>274</v>
      </c>
      <c r="C24" s="148" t="s">
        <v>275</v>
      </c>
      <c r="D24" s="125" t="s">
        <v>668</v>
      </c>
      <c r="E24" s="281" t="s">
        <v>669</v>
      </c>
    </row>
    <row r="25" spans="1:5" ht="123.6" customHeight="1" x14ac:dyDescent="0.25">
      <c r="A25" s="164" t="s">
        <v>51</v>
      </c>
      <c r="B25" s="109" t="s">
        <v>239</v>
      </c>
      <c r="C25" s="227" t="s">
        <v>437</v>
      </c>
      <c r="D25" s="98" t="s">
        <v>793</v>
      </c>
      <c r="E25" s="282" t="s">
        <v>28</v>
      </c>
    </row>
    <row r="26" spans="1:5" ht="123.6" customHeight="1" x14ac:dyDescent="0.25">
      <c r="A26" s="164" t="s">
        <v>51</v>
      </c>
      <c r="B26" s="109" t="s">
        <v>709</v>
      </c>
      <c r="C26" s="147" t="s">
        <v>710</v>
      </c>
      <c r="D26" s="98" t="s">
        <v>711</v>
      </c>
      <c r="E26" s="282"/>
    </row>
    <row r="27" spans="1:5" ht="99.95" customHeight="1" x14ac:dyDescent="0.25">
      <c r="A27" s="164" t="s">
        <v>51</v>
      </c>
      <c r="B27" s="163" t="s">
        <v>276</v>
      </c>
      <c r="C27" s="148" t="s">
        <v>277</v>
      </c>
      <c r="D27" s="109" t="s">
        <v>670</v>
      </c>
      <c r="E27" s="283" t="s">
        <v>249</v>
      </c>
    </row>
    <row r="28" spans="1:5" ht="99.95" customHeight="1" x14ac:dyDescent="0.25">
      <c r="A28" s="164" t="s">
        <v>51</v>
      </c>
      <c r="B28" s="163" t="s">
        <v>341</v>
      </c>
      <c r="C28" s="148" t="s">
        <v>343</v>
      </c>
      <c r="D28" s="109" t="s">
        <v>342</v>
      </c>
      <c r="E28" s="283"/>
    </row>
    <row r="29" spans="1:5" ht="99.95" customHeight="1" x14ac:dyDescent="0.25">
      <c r="A29" s="164" t="s">
        <v>51</v>
      </c>
      <c r="B29" s="139" t="s">
        <v>712</v>
      </c>
      <c r="C29" s="336" t="s">
        <v>713</v>
      </c>
      <c r="D29" s="139" t="s">
        <v>714</v>
      </c>
      <c r="E29" s="283"/>
    </row>
    <row r="30" spans="1:5" ht="99.95" customHeight="1" x14ac:dyDescent="0.25">
      <c r="A30" s="164" t="s">
        <v>240</v>
      </c>
      <c r="B30" s="109" t="s">
        <v>346</v>
      </c>
      <c r="C30" s="87" t="s">
        <v>347</v>
      </c>
      <c r="D30" s="291" t="s">
        <v>348</v>
      </c>
      <c r="E30" s="292"/>
    </row>
    <row r="31" spans="1:5" ht="99.95" customHeight="1" x14ac:dyDescent="0.25">
      <c r="A31" s="164" t="s">
        <v>51</v>
      </c>
      <c r="B31" s="103" t="s">
        <v>278</v>
      </c>
      <c r="C31" s="147" t="s">
        <v>373</v>
      </c>
      <c r="D31" s="308" t="s">
        <v>551</v>
      </c>
      <c r="E31" s="283" t="s">
        <v>651</v>
      </c>
    </row>
    <row r="32" spans="1:5" ht="99.95" customHeight="1" x14ac:dyDescent="0.25">
      <c r="A32" s="164" t="s">
        <v>51</v>
      </c>
      <c r="B32" s="163" t="s">
        <v>279</v>
      </c>
      <c r="C32" s="147" t="s">
        <v>280</v>
      </c>
      <c r="D32" s="143" t="s">
        <v>250</v>
      </c>
      <c r="E32" s="283" t="s">
        <v>651</v>
      </c>
    </row>
    <row r="33" spans="1:256" ht="140.44999999999999" customHeight="1" x14ac:dyDescent="0.25">
      <c r="A33" s="164" t="s">
        <v>51</v>
      </c>
      <c r="B33" s="163" t="s">
        <v>465</v>
      </c>
      <c r="C33" s="148" t="s">
        <v>329</v>
      </c>
      <c r="D33" s="87" t="s">
        <v>125</v>
      </c>
      <c r="E33" s="284" t="s">
        <v>251</v>
      </c>
    </row>
    <row r="34" spans="1:256" ht="140.44999999999999" customHeight="1" x14ac:dyDescent="0.25">
      <c r="A34" s="164" t="s">
        <v>51</v>
      </c>
      <c r="B34" s="163" t="s">
        <v>559</v>
      </c>
      <c r="C34" s="148" t="s">
        <v>561</v>
      </c>
      <c r="D34" s="144" t="s">
        <v>560</v>
      </c>
      <c r="E34" s="284"/>
    </row>
    <row r="35" spans="1:256" ht="99.95" customHeight="1" x14ac:dyDescent="0.25">
      <c r="A35" s="164" t="s">
        <v>51</v>
      </c>
      <c r="B35" s="103" t="s">
        <v>472</v>
      </c>
      <c r="C35" s="147" t="s">
        <v>690</v>
      </c>
      <c r="D35" s="98" t="s">
        <v>34</v>
      </c>
      <c r="E35" s="282" t="s">
        <v>35</v>
      </c>
    </row>
    <row r="36" spans="1:256" ht="99.95" customHeight="1" x14ac:dyDescent="0.25">
      <c r="A36" s="164" t="s">
        <v>240</v>
      </c>
      <c r="B36" s="109" t="s">
        <v>677</v>
      </c>
      <c r="C36" s="145" t="s">
        <v>678</v>
      </c>
      <c r="D36" s="140" t="s">
        <v>794</v>
      </c>
      <c r="E36" s="284" t="s">
        <v>251</v>
      </c>
    </row>
    <row r="37" spans="1:256" ht="99.95" customHeight="1" x14ac:dyDescent="0.25">
      <c r="A37" s="164" t="s">
        <v>51</v>
      </c>
      <c r="B37" s="103" t="s">
        <v>281</v>
      </c>
      <c r="C37" s="148" t="s">
        <v>65</v>
      </c>
      <c r="D37" s="309" t="s">
        <v>562</v>
      </c>
      <c r="E37" s="273" t="s">
        <v>323</v>
      </c>
    </row>
    <row r="38" spans="1:256" ht="99.95" customHeight="1" x14ac:dyDescent="0.25">
      <c r="A38" s="164" t="s">
        <v>51</v>
      </c>
      <c r="B38" s="103" t="s">
        <v>715</v>
      </c>
      <c r="C38" s="158" t="s">
        <v>717</v>
      </c>
      <c r="D38" s="87" t="s">
        <v>716</v>
      </c>
      <c r="E38" s="337"/>
    </row>
    <row r="39" spans="1:256" ht="99.95" customHeight="1" x14ac:dyDescent="0.25">
      <c r="A39" s="167" t="s">
        <v>51</v>
      </c>
      <c r="B39" s="163" t="s">
        <v>42</v>
      </c>
      <c r="C39" s="145" t="s">
        <v>570</v>
      </c>
      <c r="D39" s="303" t="s">
        <v>535</v>
      </c>
      <c r="E39" s="276" t="s">
        <v>374</v>
      </c>
    </row>
    <row r="40" spans="1:256" ht="99.95" customHeight="1" x14ac:dyDescent="0.25">
      <c r="A40" s="164" t="s">
        <v>51</v>
      </c>
      <c r="B40" s="172" t="s">
        <v>416</v>
      </c>
      <c r="C40" s="147" t="s">
        <v>580</v>
      </c>
      <c r="D40" s="306" t="s">
        <v>545</v>
      </c>
      <c r="E40" s="108" t="s">
        <v>16</v>
      </c>
    </row>
    <row r="41" spans="1:256" ht="99.95" customHeight="1" x14ac:dyDescent="0.25">
      <c r="A41" s="165" t="s">
        <v>51</v>
      </c>
      <c r="B41" s="163" t="s">
        <v>163</v>
      </c>
      <c r="C41" s="147" t="s">
        <v>327</v>
      </c>
      <c r="D41" s="87" t="s">
        <v>167</v>
      </c>
      <c r="E41" s="261" t="s">
        <v>328</v>
      </c>
    </row>
    <row r="42" spans="1:256" ht="99.95" customHeight="1" x14ac:dyDescent="0.25">
      <c r="A42" s="165" t="s">
        <v>51</v>
      </c>
      <c r="B42" s="103" t="s">
        <v>282</v>
      </c>
      <c r="C42" s="147" t="s">
        <v>155</v>
      </c>
      <c r="D42" s="98" t="s">
        <v>156</v>
      </c>
      <c r="E42" s="232" t="s">
        <v>157</v>
      </c>
    </row>
    <row r="43" spans="1:256" ht="99.95" customHeight="1" x14ac:dyDescent="0.25">
      <c r="A43" s="165" t="s">
        <v>51</v>
      </c>
      <c r="B43" s="163" t="s">
        <v>78</v>
      </c>
      <c r="C43" s="158" t="s">
        <v>367</v>
      </c>
      <c r="D43" s="143" t="s">
        <v>368</v>
      </c>
      <c r="E43" s="231" t="s">
        <v>369</v>
      </c>
    </row>
    <row r="44" spans="1:256" ht="99.95" customHeight="1" x14ac:dyDescent="0.25">
      <c r="A44" s="164" t="s">
        <v>51</v>
      </c>
      <c r="B44" s="103" t="s">
        <v>653</v>
      </c>
      <c r="C44" s="147" t="s">
        <v>654</v>
      </c>
      <c r="D44" s="87" t="s">
        <v>655</v>
      </c>
      <c r="E44" s="213" t="s">
        <v>656</v>
      </c>
    </row>
    <row r="45" spans="1:256" ht="99.95" customHeight="1" x14ac:dyDescent="0.25">
      <c r="A45" s="164" t="s">
        <v>240</v>
      </c>
      <c r="B45" s="103" t="s">
        <v>723</v>
      </c>
      <c r="C45" s="339" t="s">
        <v>724</v>
      </c>
      <c r="D45" s="98" t="s">
        <v>725</v>
      </c>
      <c r="E45" s="213"/>
    </row>
    <row r="46" spans="1:256" ht="99.95" customHeight="1" x14ac:dyDescent="0.25">
      <c r="A46" s="164" t="s">
        <v>51</v>
      </c>
      <c r="B46" s="103" t="s">
        <v>587</v>
      </c>
      <c r="C46" s="149" t="s">
        <v>253</v>
      </c>
      <c r="D46" s="125" t="s">
        <v>588</v>
      </c>
      <c r="E46" s="281" t="s">
        <v>252</v>
      </c>
    </row>
    <row r="47" spans="1:256" ht="99.95" customHeight="1" x14ac:dyDescent="0.25">
      <c r="A47" s="164" t="s">
        <v>51</v>
      </c>
      <c r="B47" s="139" t="s">
        <v>283</v>
      </c>
      <c r="C47" s="151" t="s">
        <v>284</v>
      </c>
      <c r="D47" s="139" t="s">
        <v>190</v>
      </c>
      <c r="E47" s="170" t="s">
        <v>217</v>
      </c>
      <c r="F47" s="211"/>
      <c r="G47" s="178"/>
      <c r="H47" s="211"/>
      <c r="I47" s="210"/>
      <c r="J47" s="212"/>
      <c r="K47" s="178"/>
      <c r="L47" s="178"/>
      <c r="M47" s="211"/>
      <c r="N47" s="178"/>
      <c r="O47" s="178"/>
      <c r="P47" s="211"/>
      <c r="Q47" s="210"/>
      <c r="R47" s="212"/>
      <c r="S47" s="178"/>
      <c r="T47" s="178"/>
      <c r="U47" s="211"/>
      <c r="V47" s="178"/>
      <c r="W47" s="178"/>
      <c r="X47" s="211"/>
      <c r="Y47" s="210"/>
      <c r="Z47" s="212"/>
      <c r="AA47" s="178"/>
      <c r="AB47" s="178"/>
      <c r="AC47" s="211"/>
      <c r="AD47" s="178"/>
      <c r="AE47" s="178"/>
      <c r="AF47" s="211"/>
      <c r="AG47" s="210"/>
      <c r="AH47" s="212"/>
      <c r="AI47" s="178"/>
      <c r="AJ47" s="178"/>
      <c r="AK47" s="211"/>
      <c r="AL47" s="178"/>
      <c r="AM47" s="178"/>
      <c r="AN47" s="211"/>
      <c r="AO47" s="210"/>
      <c r="AP47" s="212"/>
      <c r="AQ47" s="178"/>
      <c r="AR47" s="178"/>
      <c r="AS47" s="211"/>
      <c r="AT47" s="178"/>
      <c r="AU47" s="178"/>
      <c r="AV47" s="211"/>
      <c r="AW47" s="210"/>
      <c r="AX47" s="212"/>
      <c r="AY47" s="178"/>
      <c r="AZ47" s="178"/>
      <c r="BA47" s="211"/>
      <c r="BB47" s="178"/>
      <c r="BC47" s="178"/>
      <c r="BD47" s="211"/>
      <c r="BE47" s="210"/>
      <c r="BF47" s="212"/>
      <c r="BG47" s="178"/>
      <c r="BH47" s="178"/>
      <c r="BI47" s="211"/>
      <c r="BJ47" s="178"/>
      <c r="BK47" s="178"/>
      <c r="BL47" s="211"/>
      <c r="BM47" s="210"/>
      <c r="BN47" s="212"/>
      <c r="BO47" s="178"/>
      <c r="BP47" s="178"/>
      <c r="BQ47" s="211"/>
      <c r="BR47" s="178"/>
      <c r="BS47" s="178"/>
      <c r="BT47" s="211"/>
      <c r="BU47" s="210"/>
      <c r="BV47" s="212"/>
      <c r="BW47" s="178"/>
      <c r="BX47" s="178"/>
      <c r="BY47" s="211"/>
      <c r="BZ47" s="178"/>
      <c r="CA47" s="178"/>
      <c r="CB47" s="211"/>
      <c r="CC47" s="210"/>
      <c r="CD47" s="212"/>
      <c r="CE47" s="178"/>
      <c r="CF47" s="178"/>
      <c r="CG47" s="211"/>
      <c r="CH47" s="178"/>
      <c r="CI47" s="178"/>
      <c r="CJ47" s="211"/>
      <c r="CK47" s="210"/>
      <c r="CL47" s="212"/>
      <c r="CM47" s="178"/>
      <c r="CN47" s="178"/>
      <c r="CO47" s="211"/>
      <c r="CP47" s="178"/>
      <c r="CQ47" s="178"/>
      <c r="CR47" s="211"/>
      <c r="CS47" s="210"/>
      <c r="CT47" s="212"/>
      <c r="CU47" s="178"/>
      <c r="CV47" s="178"/>
      <c r="CW47" s="211"/>
      <c r="CX47" s="178"/>
      <c r="CY47" s="178"/>
      <c r="CZ47" s="211"/>
      <c r="DA47" s="210"/>
      <c r="DB47" s="212"/>
      <c r="DC47" s="178"/>
      <c r="DD47" s="178"/>
      <c r="DE47" s="211"/>
      <c r="DF47" s="178"/>
      <c r="DG47" s="178"/>
      <c r="DH47" s="211"/>
      <c r="DI47" s="210"/>
      <c r="DJ47" s="212"/>
      <c r="DK47" s="178"/>
      <c r="DL47" s="178"/>
      <c r="DM47" s="211"/>
      <c r="DN47" s="178"/>
      <c r="DO47" s="178"/>
      <c r="DP47" s="211"/>
      <c r="DQ47" s="210"/>
      <c r="DR47" s="212"/>
      <c r="DS47" s="178"/>
      <c r="DT47" s="178"/>
      <c r="DU47" s="211"/>
      <c r="DV47" s="178"/>
      <c r="DW47" s="178"/>
      <c r="DX47" s="211"/>
      <c r="DY47" s="210"/>
      <c r="DZ47" s="212"/>
      <c r="EA47" s="178"/>
      <c r="EB47" s="178"/>
      <c r="EC47" s="211"/>
      <c r="ED47" s="178"/>
      <c r="EE47" s="178"/>
      <c r="EF47" s="211"/>
      <c r="EG47" s="210"/>
      <c r="EH47" s="212"/>
      <c r="EI47" s="178"/>
      <c r="EJ47" s="178"/>
      <c r="EK47" s="211"/>
      <c r="EL47" s="178"/>
      <c r="EM47" s="178"/>
      <c r="EN47" s="211"/>
      <c r="EO47" s="210"/>
      <c r="EP47" s="212"/>
      <c r="EQ47" s="178"/>
      <c r="ER47" s="178"/>
      <c r="ES47" s="211"/>
      <c r="ET47" s="178"/>
      <c r="EU47" s="178"/>
      <c r="EV47" s="211"/>
      <c r="EW47" s="210"/>
      <c r="EX47" s="212"/>
      <c r="EY47" s="178"/>
      <c r="EZ47" s="178"/>
      <c r="FA47" s="211"/>
      <c r="FB47" s="178"/>
      <c r="FC47" s="178"/>
      <c r="FD47" s="211"/>
      <c r="FE47" s="210"/>
      <c r="FF47" s="212"/>
      <c r="FG47" s="178"/>
      <c r="FH47" s="178"/>
      <c r="FI47" s="211"/>
      <c r="FJ47" s="178"/>
      <c r="FK47" s="178"/>
      <c r="FL47" s="211"/>
      <c r="FM47" s="210"/>
      <c r="FN47" s="212"/>
      <c r="FO47" s="178"/>
      <c r="FP47" s="178"/>
      <c r="FQ47" s="211"/>
      <c r="FR47" s="178"/>
      <c r="FS47" s="178"/>
      <c r="FT47" s="211"/>
      <c r="FU47" s="210"/>
      <c r="FV47" s="212"/>
      <c r="FW47" s="178"/>
      <c r="FX47" s="178"/>
      <c r="FY47" s="211"/>
      <c r="FZ47" s="178"/>
      <c r="GA47" s="178"/>
      <c r="GB47" s="211"/>
      <c r="GC47" s="210"/>
      <c r="GD47" s="212"/>
      <c r="GE47" s="178"/>
      <c r="GF47" s="178"/>
      <c r="GG47" s="211"/>
      <c r="GH47" s="178"/>
      <c r="GI47" s="178"/>
      <c r="GJ47" s="211"/>
      <c r="GK47" s="210"/>
      <c r="GL47" s="212"/>
      <c r="GM47" s="178"/>
      <c r="GN47" s="178"/>
      <c r="GO47" s="211"/>
      <c r="GP47" s="178"/>
      <c r="GQ47" s="178"/>
      <c r="GR47" s="211"/>
      <c r="GS47" s="210"/>
      <c r="GT47" s="212"/>
      <c r="GU47" s="178"/>
      <c r="GV47" s="178"/>
      <c r="GW47" s="211"/>
      <c r="GX47" s="178"/>
      <c r="GY47" s="178"/>
      <c r="GZ47" s="211"/>
      <c r="HA47" s="210"/>
      <c r="HB47" s="212"/>
      <c r="HC47" s="178"/>
      <c r="HD47" s="178"/>
      <c r="HE47" s="211"/>
      <c r="HF47" s="178"/>
      <c r="HG47" s="178"/>
      <c r="HH47" s="211"/>
      <c r="HI47" s="210"/>
      <c r="HJ47" s="212"/>
      <c r="HK47" s="178"/>
      <c r="HL47" s="178"/>
      <c r="HM47" s="211"/>
      <c r="HN47" s="178"/>
      <c r="HO47" s="178"/>
      <c r="HP47" s="211"/>
      <c r="HQ47" s="210"/>
      <c r="HR47" s="212"/>
      <c r="HS47" s="178"/>
      <c r="HT47" s="178"/>
      <c r="HU47" s="211"/>
      <c r="HV47" s="178"/>
      <c r="HW47" s="178"/>
      <c r="HX47" s="211"/>
      <c r="HY47" s="210"/>
      <c r="HZ47" s="212"/>
      <c r="IA47" s="178"/>
      <c r="IB47" s="178"/>
      <c r="IC47" s="211"/>
      <c r="ID47" s="178"/>
      <c r="IE47" s="178"/>
      <c r="IF47" s="211"/>
      <c r="IG47" s="210"/>
      <c r="IH47" s="212"/>
      <c r="II47" s="178"/>
      <c r="IJ47" s="178"/>
      <c r="IK47" s="211"/>
      <c r="IL47" s="178"/>
      <c r="IM47" s="178"/>
      <c r="IN47" s="211"/>
      <c r="IO47" s="210"/>
      <c r="IP47" s="212"/>
      <c r="IQ47" s="178"/>
      <c r="IR47" s="178"/>
      <c r="IS47" s="211"/>
      <c r="IT47" s="178"/>
      <c r="IU47" s="178"/>
      <c r="IV47" s="211"/>
    </row>
    <row r="48" spans="1:256" ht="99.95" customHeight="1" x14ac:dyDescent="0.25">
      <c r="A48" s="165" t="s">
        <v>151</v>
      </c>
      <c r="B48" s="109" t="s">
        <v>55</v>
      </c>
      <c r="C48" s="226" t="s">
        <v>56</v>
      </c>
      <c r="D48" s="304" t="s">
        <v>558</v>
      </c>
      <c r="E48" s="214" t="s">
        <v>179</v>
      </c>
    </row>
    <row r="49" spans="1:5" ht="99.95" customHeight="1" x14ac:dyDescent="0.25">
      <c r="A49" s="164" t="s">
        <v>51</v>
      </c>
      <c r="B49" s="109" t="s">
        <v>230</v>
      </c>
      <c r="C49" s="148" t="s">
        <v>231</v>
      </c>
      <c r="D49" s="359" t="s">
        <v>795</v>
      </c>
      <c r="E49" s="110" t="s">
        <v>218</v>
      </c>
    </row>
    <row r="50" spans="1:5" s="150" customFormat="1" ht="99.95" customHeight="1" x14ac:dyDescent="0.25">
      <c r="A50" s="164" t="s">
        <v>51</v>
      </c>
      <c r="B50" s="139" t="s">
        <v>285</v>
      </c>
      <c r="C50" s="151" t="s">
        <v>286</v>
      </c>
      <c r="D50" s="303" t="s">
        <v>796</v>
      </c>
      <c r="E50" s="179" t="s">
        <v>90</v>
      </c>
    </row>
    <row r="51" spans="1:5" s="150" customFormat="1" ht="99.95" customHeight="1" x14ac:dyDescent="0.25">
      <c r="A51" s="165" t="s">
        <v>240</v>
      </c>
      <c r="B51" s="87" t="s">
        <v>461</v>
      </c>
      <c r="C51" s="161" t="s">
        <v>462</v>
      </c>
      <c r="D51" s="173" t="s">
        <v>575</v>
      </c>
      <c r="E51" s="113"/>
    </row>
    <row r="52" spans="1:5" s="150" customFormat="1" ht="99.95" customHeight="1" x14ac:dyDescent="0.25">
      <c r="A52" s="165" t="s">
        <v>51</v>
      </c>
      <c r="B52" s="163" t="s">
        <v>396</v>
      </c>
      <c r="C52" s="148" t="s">
        <v>397</v>
      </c>
      <c r="D52" s="103" t="s">
        <v>422</v>
      </c>
      <c r="E52" s="108" t="s">
        <v>423</v>
      </c>
    </row>
    <row r="53" spans="1:5" s="150" customFormat="1" ht="99.95" customHeight="1" x14ac:dyDescent="0.25">
      <c r="A53" s="165" t="s">
        <v>51</v>
      </c>
      <c r="B53" s="163" t="s">
        <v>466</v>
      </c>
      <c r="C53" s="148" t="s">
        <v>154</v>
      </c>
      <c r="D53" s="103" t="s">
        <v>154</v>
      </c>
      <c r="E53" s="285" t="s">
        <v>180</v>
      </c>
    </row>
    <row r="54" spans="1:5" s="150" customFormat="1" ht="99.95" customHeight="1" x14ac:dyDescent="0.25">
      <c r="A54" s="165" t="s">
        <v>51</v>
      </c>
      <c r="B54" s="109" t="s">
        <v>287</v>
      </c>
      <c r="C54" s="160" t="s">
        <v>235</v>
      </c>
      <c r="D54" s="107" t="s">
        <v>168</v>
      </c>
      <c r="E54" s="110" t="s">
        <v>169</v>
      </c>
    </row>
    <row r="55" spans="1:5" s="150" customFormat="1" ht="99.95" customHeight="1" x14ac:dyDescent="0.25">
      <c r="A55" s="165" t="s">
        <v>51</v>
      </c>
      <c r="B55" s="109" t="s">
        <v>174</v>
      </c>
      <c r="C55" s="181" t="s">
        <v>351</v>
      </c>
      <c r="D55" s="307" t="s">
        <v>550</v>
      </c>
      <c r="E55" s="233" t="s">
        <v>175</v>
      </c>
    </row>
    <row r="56" spans="1:5" s="150" customFormat="1" ht="99.95" customHeight="1" x14ac:dyDescent="0.25">
      <c r="A56" s="165" t="s">
        <v>51</v>
      </c>
      <c r="B56" s="163" t="s">
        <v>403</v>
      </c>
      <c r="C56" s="161" t="s">
        <v>402</v>
      </c>
      <c r="D56" s="243" t="s">
        <v>424</v>
      </c>
      <c r="E56" s="242" t="s">
        <v>181</v>
      </c>
    </row>
    <row r="57" spans="1:5" s="150" customFormat="1" ht="99.95" customHeight="1" x14ac:dyDescent="0.25">
      <c r="A57" s="165" t="s">
        <v>51</v>
      </c>
      <c r="B57" s="103" t="s">
        <v>232</v>
      </c>
      <c r="C57" s="148" t="s">
        <v>233</v>
      </c>
      <c r="D57" s="87" t="s">
        <v>797</v>
      </c>
      <c r="E57" s="280" t="s">
        <v>176</v>
      </c>
    </row>
    <row r="58" spans="1:5" s="150" customFormat="1" ht="99.95" customHeight="1" x14ac:dyDescent="0.25">
      <c r="A58" s="164" t="s">
        <v>51</v>
      </c>
      <c r="B58" s="109" t="s">
        <v>288</v>
      </c>
      <c r="C58" s="145" t="s">
        <v>116</v>
      </c>
      <c r="D58" s="109" t="s">
        <v>117</v>
      </c>
      <c r="E58" s="110" t="s">
        <v>219</v>
      </c>
    </row>
    <row r="59" spans="1:5" s="150" customFormat="1" ht="99.95" customHeight="1" x14ac:dyDescent="0.25">
      <c r="A59" s="165" t="s">
        <v>51</v>
      </c>
      <c r="B59" s="163" t="s">
        <v>289</v>
      </c>
      <c r="C59" s="155" t="s">
        <v>290</v>
      </c>
      <c r="D59" s="144" t="s">
        <v>685</v>
      </c>
      <c r="E59" s="177" t="s">
        <v>214</v>
      </c>
    </row>
    <row r="60" spans="1:5" s="150" customFormat="1" ht="99.95" customHeight="1" x14ac:dyDescent="0.25">
      <c r="A60" s="164" t="s">
        <v>51</v>
      </c>
      <c r="B60" s="109" t="s">
        <v>468</v>
      </c>
      <c r="C60" s="149" t="s">
        <v>152</v>
      </c>
      <c r="D60" s="120" t="s">
        <v>215</v>
      </c>
      <c r="E60" s="188" t="s">
        <v>216</v>
      </c>
    </row>
    <row r="61" spans="1:5" s="150" customFormat="1" ht="99.95" customHeight="1" x14ac:dyDescent="0.25">
      <c r="A61" s="165" t="s">
        <v>240</v>
      </c>
      <c r="B61" s="109" t="s">
        <v>726</v>
      </c>
      <c r="C61" s="145" t="s">
        <v>727</v>
      </c>
      <c r="D61" s="340" t="s">
        <v>728</v>
      </c>
      <c r="E61" s="188"/>
    </row>
    <row r="62" spans="1:5" s="150" customFormat="1" ht="99.95" customHeight="1" x14ac:dyDescent="0.25">
      <c r="A62" s="165" t="s">
        <v>51</v>
      </c>
      <c r="B62" s="109" t="s">
        <v>470</v>
      </c>
      <c r="C62" s="145" t="s">
        <v>469</v>
      </c>
      <c r="D62" s="103" t="s">
        <v>170</v>
      </c>
      <c r="E62" s="108" t="s">
        <v>171</v>
      </c>
    </row>
    <row r="63" spans="1:5" s="150" customFormat="1" ht="99.95" customHeight="1" x14ac:dyDescent="0.25">
      <c r="A63" s="341" t="s">
        <v>473</v>
      </c>
      <c r="B63" s="109" t="s">
        <v>729</v>
      </c>
      <c r="C63" s="342" t="s">
        <v>474</v>
      </c>
      <c r="D63" s="343" t="s">
        <v>730</v>
      </c>
      <c r="E63" s="108"/>
    </row>
    <row r="64" spans="1:5" s="150" customFormat="1" ht="99.95" customHeight="1" x14ac:dyDescent="0.25">
      <c r="A64" s="341" t="s">
        <v>51</v>
      </c>
      <c r="B64" s="344" t="s">
        <v>731</v>
      </c>
      <c r="C64" s="345" t="s">
        <v>732</v>
      </c>
      <c r="D64" s="87" t="s">
        <v>733</v>
      </c>
      <c r="E64" s="108"/>
    </row>
    <row r="65" spans="1:8" ht="99.95" customHeight="1" x14ac:dyDescent="0.25">
      <c r="A65" s="165" t="s">
        <v>51</v>
      </c>
      <c r="B65" s="109" t="s">
        <v>693</v>
      </c>
      <c r="C65" s="145" t="s">
        <v>66</v>
      </c>
      <c r="D65" s="357" t="s">
        <v>798</v>
      </c>
      <c r="E65" s="188" t="s">
        <v>495</v>
      </c>
    </row>
    <row r="66" spans="1:8" ht="67.5" x14ac:dyDescent="0.25">
      <c r="A66" s="165" t="s">
        <v>53</v>
      </c>
      <c r="B66" s="360" t="s">
        <v>799</v>
      </c>
      <c r="C66" s="149" t="s">
        <v>829</v>
      </c>
      <c r="D66" s="361" t="s">
        <v>800</v>
      </c>
      <c r="E66" s="188"/>
    </row>
    <row r="67" spans="1:8" ht="45" x14ac:dyDescent="0.25">
      <c r="A67" s="164" t="s">
        <v>51</v>
      </c>
      <c r="B67" s="163" t="s">
        <v>387</v>
      </c>
      <c r="C67" s="160" t="s">
        <v>388</v>
      </c>
      <c r="D67" s="107" t="s">
        <v>389</v>
      </c>
      <c r="E67" s="286" t="s">
        <v>496</v>
      </c>
    </row>
    <row r="68" spans="1:8" ht="22.5" x14ac:dyDescent="0.25">
      <c r="A68" s="165" t="s">
        <v>51</v>
      </c>
      <c r="B68" s="163" t="s">
        <v>229</v>
      </c>
      <c r="C68" s="148" t="s">
        <v>384</v>
      </c>
      <c r="D68" s="98" t="s">
        <v>385</v>
      </c>
      <c r="E68" s="110" t="s">
        <v>386</v>
      </c>
    </row>
    <row r="69" spans="1:8" ht="101.25" x14ac:dyDescent="0.25">
      <c r="A69" s="165" t="s">
        <v>51</v>
      </c>
      <c r="B69" s="172" t="s">
        <v>209</v>
      </c>
      <c r="C69" s="159" t="s">
        <v>652</v>
      </c>
      <c r="D69" s="305" t="s">
        <v>557</v>
      </c>
      <c r="E69" s="214" t="s">
        <v>425</v>
      </c>
      <c r="H69" s="305"/>
    </row>
    <row r="70" spans="1:8" ht="78.75" x14ac:dyDescent="0.25">
      <c r="A70" s="164" t="s">
        <v>51</v>
      </c>
      <c r="B70" s="109" t="s">
        <v>318</v>
      </c>
      <c r="C70" s="145" t="s">
        <v>245</v>
      </c>
      <c r="D70" s="98" t="s">
        <v>537</v>
      </c>
      <c r="E70" s="188" t="s">
        <v>663</v>
      </c>
    </row>
    <row r="71" spans="1:8" ht="45" x14ac:dyDescent="0.25">
      <c r="A71" s="165" t="s">
        <v>53</v>
      </c>
      <c r="B71" s="219" t="s">
        <v>679</v>
      </c>
      <c r="C71" s="224" t="s">
        <v>680</v>
      </c>
      <c r="D71" s="142" t="s">
        <v>681</v>
      </c>
      <c r="E71" s="152" t="s">
        <v>682</v>
      </c>
    </row>
    <row r="72" spans="1:8" ht="150" customHeight="1" x14ac:dyDescent="0.25">
      <c r="A72" s="165" t="s">
        <v>51</v>
      </c>
      <c r="B72" s="219" t="s">
        <v>541</v>
      </c>
      <c r="C72" s="224" t="s">
        <v>542</v>
      </c>
      <c r="D72" s="305" t="s">
        <v>540</v>
      </c>
      <c r="E72" s="152"/>
    </row>
    <row r="73" spans="1:8" ht="90" x14ac:dyDescent="0.25">
      <c r="A73" s="165" t="s">
        <v>51</v>
      </c>
      <c r="B73" s="109" t="s">
        <v>687</v>
      </c>
      <c r="C73" s="145" t="s">
        <v>688</v>
      </c>
      <c r="D73" s="311" t="s">
        <v>592</v>
      </c>
      <c r="E73" s="188" t="s">
        <v>689</v>
      </c>
    </row>
    <row r="74" spans="1:8" ht="213.75" x14ac:dyDescent="0.25">
      <c r="A74" s="165" t="s">
        <v>51</v>
      </c>
      <c r="B74" s="109" t="s">
        <v>131</v>
      </c>
      <c r="C74" s="145" t="s">
        <v>188</v>
      </c>
      <c r="D74" s="87" t="s">
        <v>132</v>
      </c>
      <c r="E74" s="213" t="s">
        <v>133</v>
      </c>
    </row>
    <row r="75" spans="1:8" ht="247.5" x14ac:dyDescent="0.25">
      <c r="A75" s="165" t="s">
        <v>51</v>
      </c>
      <c r="B75" s="103" t="s">
        <v>292</v>
      </c>
      <c r="C75" s="147" t="s">
        <v>657</v>
      </c>
      <c r="D75" s="190" t="s">
        <v>644</v>
      </c>
      <c r="E75" s="213" t="s">
        <v>440</v>
      </c>
    </row>
    <row r="76" spans="1:8" ht="146.25" x14ac:dyDescent="0.25">
      <c r="A76" s="165" t="s">
        <v>51</v>
      </c>
      <c r="B76" s="103" t="s">
        <v>734</v>
      </c>
      <c r="C76" s="346" t="s">
        <v>736</v>
      </c>
      <c r="D76" s="98" t="s">
        <v>735</v>
      </c>
      <c r="E76" s="213"/>
    </row>
    <row r="77" spans="1:8" ht="45" x14ac:dyDescent="0.25">
      <c r="A77" s="165" t="s">
        <v>51</v>
      </c>
      <c r="B77" s="109" t="s">
        <v>737</v>
      </c>
      <c r="C77" s="149" t="s">
        <v>739</v>
      </c>
      <c r="D77" s="87" t="s">
        <v>738</v>
      </c>
      <c r="E77" s="213"/>
    </row>
    <row r="78" spans="1:8" ht="101.25" x14ac:dyDescent="0.25">
      <c r="A78" s="165" t="s">
        <v>51</v>
      </c>
      <c r="B78" s="103" t="s">
        <v>553</v>
      </c>
      <c r="C78" s="147" t="s">
        <v>554</v>
      </c>
      <c r="D78" s="303" t="s">
        <v>552</v>
      </c>
      <c r="E78" s="213"/>
    </row>
    <row r="79" spans="1:8" ht="45" x14ac:dyDescent="0.25">
      <c r="A79" s="165" t="s">
        <v>51</v>
      </c>
      <c r="B79" s="103" t="s">
        <v>801</v>
      </c>
      <c r="C79" s="147" t="s">
        <v>802</v>
      </c>
      <c r="D79" s="359" t="s">
        <v>803</v>
      </c>
      <c r="E79" s="213"/>
    </row>
    <row r="80" spans="1:8" ht="67.5" x14ac:dyDescent="0.25">
      <c r="A80" s="165" t="s">
        <v>51</v>
      </c>
      <c r="B80" s="103" t="s">
        <v>89</v>
      </c>
      <c r="C80" s="147" t="s">
        <v>658</v>
      </c>
      <c r="D80" s="357" t="s">
        <v>804</v>
      </c>
      <c r="E80" s="67" t="s">
        <v>659</v>
      </c>
    </row>
    <row r="81" spans="1:5" ht="56.25" x14ac:dyDescent="0.25">
      <c r="A81" s="164" t="s">
        <v>51</v>
      </c>
      <c r="B81" s="103" t="s">
        <v>293</v>
      </c>
      <c r="C81" s="176" t="s">
        <v>375</v>
      </c>
      <c r="D81" s="357" t="s">
        <v>805</v>
      </c>
      <c r="E81" s="279" t="s">
        <v>441</v>
      </c>
    </row>
    <row r="82" spans="1:5" s="75" customFormat="1" ht="99.95" customHeight="1" x14ac:dyDescent="0.2">
      <c r="A82" s="164" t="s">
        <v>51</v>
      </c>
      <c r="B82" s="103" t="s">
        <v>254</v>
      </c>
      <c r="C82" s="147" t="s">
        <v>255</v>
      </c>
      <c r="D82" s="125" t="s">
        <v>324</v>
      </c>
      <c r="E82" s="281" t="s">
        <v>325</v>
      </c>
    </row>
    <row r="83" spans="1:5" s="75" customFormat="1" ht="99.95" customHeight="1" x14ac:dyDescent="0.2">
      <c r="A83" s="164" t="s">
        <v>51</v>
      </c>
      <c r="B83" s="109" t="s">
        <v>743</v>
      </c>
      <c r="C83" s="350" t="s">
        <v>744</v>
      </c>
      <c r="D83" s="87" t="s">
        <v>744</v>
      </c>
      <c r="E83" s="281"/>
    </row>
    <row r="84" spans="1:5" s="75" customFormat="1" ht="99.95" customHeight="1" x14ac:dyDescent="0.2">
      <c r="A84" s="164" t="s">
        <v>51</v>
      </c>
      <c r="B84" s="109" t="s">
        <v>294</v>
      </c>
      <c r="C84" s="149" t="s">
        <v>571</v>
      </c>
      <c r="D84" s="362" t="s">
        <v>806</v>
      </c>
      <c r="E84" s="242" t="s">
        <v>452</v>
      </c>
    </row>
    <row r="85" spans="1:5" s="75" customFormat="1" ht="99.95" customHeight="1" x14ac:dyDescent="0.2">
      <c r="A85" s="164" t="s">
        <v>51</v>
      </c>
      <c r="B85" s="103" t="s">
        <v>185</v>
      </c>
      <c r="C85" s="145" t="s">
        <v>186</v>
      </c>
      <c r="D85" s="244" t="s">
        <v>426</v>
      </c>
      <c r="E85" s="110" t="s">
        <v>427</v>
      </c>
    </row>
    <row r="86" spans="1:5" s="75" customFormat="1" ht="99.95" customHeight="1" x14ac:dyDescent="0.2">
      <c r="A86" s="164" t="s">
        <v>51</v>
      </c>
      <c r="B86" s="109" t="s">
        <v>749</v>
      </c>
      <c r="C86" s="352" t="s">
        <v>750</v>
      </c>
      <c r="D86" s="98" t="s">
        <v>751</v>
      </c>
      <c r="E86" s="110"/>
    </row>
    <row r="87" spans="1:5" s="75" customFormat="1" ht="99.95" customHeight="1" x14ac:dyDescent="0.2">
      <c r="A87" s="354" t="s">
        <v>754</v>
      </c>
      <c r="B87" s="109" t="s">
        <v>752</v>
      </c>
      <c r="C87" s="353" t="s">
        <v>753</v>
      </c>
      <c r="D87" s="130" t="s">
        <v>755</v>
      </c>
      <c r="E87" s="110"/>
    </row>
    <row r="88" spans="1:5" s="75" customFormat="1" ht="99.95" customHeight="1" x14ac:dyDescent="0.2">
      <c r="A88" s="164" t="s">
        <v>240</v>
      </c>
      <c r="B88" s="103" t="s">
        <v>355</v>
      </c>
      <c r="C88" s="145" t="s">
        <v>356</v>
      </c>
      <c r="D88" s="351" t="s">
        <v>748</v>
      </c>
      <c r="E88" s="300" t="s">
        <v>357</v>
      </c>
    </row>
    <row r="89" spans="1:5" ht="99.95" customHeight="1" x14ac:dyDescent="0.25">
      <c r="A89" s="164" t="s">
        <v>53</v>
      </c>
      <c r="B89" s="103" t="s">
        <v>745</v>
      </c>
      <c r="C89" s="349" t="s">
        <v>746</v>
      </c>
      <c r="D89" s="92" t="s">
        <v>747</v>
      </c>
      <c r="E89" s="300"/>
    </row>
    <row r="90" spans="1:5" ht="99.95" customHeight="1" x14ac:dyDescent="0.25">
      <c r="A90" s="164" t="s">
        <v>51</v>
      </c>
      <c r="B90" s="109" t="s">
        <v>295</v>
      </c>
      <c r="C90" s="145" t="s">
        <v>150</v>
      </c>
      <c r="D90" s="98" t="s">
        <v>544</v>
      </c>
      <c r="E90" s="188" t="s">
        <v>18</v>
      </c>
    </row>
    <row r="91" spans="1:5" ht="99.95" customHeight="1" x14ac:dyDescent="0.25">
      <c r="A91" s="164" t="s">
        <v>51</v>
      </c>
      <c r="B91" s="163" t="s">
        <v>476</v>
      </c>
      <c r="C91" s="147" t="s">
        <v>153</v>
      </c>
      <c r="D91" s="162" t="s">
        <v>758</v>
      </c>
      <c r="E91" s="110" t="s">
        <v>22</v>
      </c>
    </row>
    <row r="92" spans="1:5" ht="99.95" customHeight="1" x14ac:dyDescent="0.25">
      <c r="A92" s="165" t="s">
        <v>53</v>
      </c>
      <c r="B92" s="109" t="s">
        <v>158</v>
      </c>
      <c r="C92" s="145" t="s">
        <v>159</v>
      </c>
      <c r="D92" s="98" t="s">
        <v>160</v>
      </c>
      <c r="E92" s="110" t="s">
        <v>23</v>
      </c>
    </row>
    <row r="93" spans="1:5" ht="99.95" customHeight="1" x14ac:dyDescent="0.25">
      <c r="A93" s="164" t="s">
        <v>51</v>
      </c>
      <c r="B93" s="109" t="s">
        <v>555</v>
      </c>
      <c r="C93" s="149" t="s">
        <v>554</v>
      </c>
      <c r="D93" s="305" t="s">
        <v>556</v>
      </c>
      <c r="E93" s="110"/>
    </row>
    <row r="94" spans="1:5" ht="99.95" customHeight="1" x14ac:dyDescent="0.25">
      <c r="A94" s="164" t="s">
        <v>51</v>
      </c>
      <c r="B94" s="139" t="s">
        <v>296</v>
      </c>
      <c r="C94" s="155" t="s">
        <v>191</v>
      </c>
      <c r="D94" s="143" t="s">
        <v>129</v>
      </c>
      <c r="E94" s="156" t="s">
        <v>24</v>
      </c>
    </row>
    <row r="95" spans="1:5" ht="99.95" customHeight="1" x14ac:dyDescent="0.25">
      <c r="A95" s="164" t="s">
        <v>51</v>
      </c>
      <c r="B95" s="109" t="s">
        <v>259</v>
      </c>
      <c r="C95" s="149" t="s">
        <v>204</v>
      </c>
      <c r="D95" s="98" t="s">
        <v>661</v>
      </c>
      <c r="E95" s="72" t="s">
        <v>662</v>
      </c>
    </row>
    <row r="96" spans="1:5" ht="99.95" customHeight="1" x14ac:dyDescent="0.25">
      <c r="A96" s="164" t="s">
        <v>51</v>
      </c>
      <c r="B96" s="109" t="s">
        <v>563</v>
      </c>
      <c r="C96" s="149" t="s">
        <v>113</v>
      </c>
      <c r="D96" s="144" t="s">
        <v>112</v>
      </c>
      <c r="E96" s="72"/>
    </row>
    <row r="97" spans="1:8" ht="99.95" customHeight="1" x14ac:dyDescent="0.25">
      <c r="A97" s="164" t="s">
        <v>51</v>
      </c>
      <c r="B97" s="103" t="s">
        <v>756</v>
      </c>
      <c r="C97" s="355" t="s">
        <v>757</v>
      </c>
      <c r="D97" s="303" t="s">
        <v>807</v>
      </c>
      <c r="E97" s="72"/>
    </row>
    <row r="98" spans="1:8" s="1" customFormat="1" ht="99.95" customHeight="1" x14ac:dyDescent="0.25">
      <c r="A98" s="164" t="s">
        <v>51</v>
      </c>
      <c r="B98" s="103" t="s">
        <v>134</v>
      </c>
      <c r="C98" s="148" t="s">
        <v>135</v>
      </c>
      <c r="D98" s="87" t="s">
        <v>453</v>
      </c>
      <c r="E98" s="214" t="s">
        <v>454</v>
      </c>
    </row>
    <row r="99" spans="1:8" ht="204" customHeight="1" x14ac:dyDescent="0.25">
      <c r="A99" s="164" t="s">
        <v>53</v>
      </c>
      <c r="B99" s="103" t="s">
        <v>759</v>
      </c>
      <c r="C99" s="356" t="s">
        <v>760</v>
      </c>
      <c r="D99" s="244" t="s">
        <v>808</v>
      </c>
      <c r="E99" s="363"/>
    </row>
    <row r="100" spans="1:8" ht="99.95" customHeight="1" x14ac:dyDescent="0.25">
      <c r="A100" s="164" t="s">
        <v>51</v>
      </c>
      <c r="B100" s="103" t="s">
        <v>471</v>
      </c>
      <c r="C100" s="147" t="s">
        <v>647</v>
      </c>
      <c r="D100" s="190" t="s">
        <v>645</v>
      </c>
      <c r="E100" s="213" t="s">
        <v>646</v>
      </c>
      <c r="H100" s="103"/>
    </row>
    <row r="101" spans="1:8" ht="99.95" customHeight="1" x14ac:dyDescent="0.25">
      <c r="A101" s="164" t="s">
        <v>51</v>
      </c>
      <c r="B101" s="109" t="s">
        <v>161</v>
      </c>
      <c r="C101" s="149" t="s">
        <v>162</v>
      </c>
      <c r="D101" s="304" t="s">
        <v>536</v>
      </c>
      <c r="E101" s="259" t="s">
        <v>363</v>
      </c>
    </row>
    <row r="102" spans="1:8" ht="99.95" customHeight="1" x14ac:dyDescent="0.25">
      <c r="A102" s="165" t="s">
        <v>240</v>
      </c>
      <c r="B102" s="220" t="s">
        <v>317</v>
      </c>
      <c r="C102" s="147" t="s">
        <v>629</v>
      </c>
      <c r="D102" s="103" t="s">
        <v>630</v>
      </c>
      <c r="E102" s="108" t="s">
        <v>442</v>
      </c>
    </row>
    <row r="103" spans="1:8" ht="99.95" customHeight="1" x14ac:dyDescent="0.25">
      <c r="A103" s="164" t="s">
        <v>79</v>
      </c>
      <c r="B103" s="221" t="s">
        <v>80</v>
      </c>
      <c r="C103" s="192" t="s">
        <v>81</v>
      </c>
      <c r="D103" s="125" t="s">
        <v>82</v>
      </c>
      <c r="E103" s="193" t="s">
        <v>83</v>
      </c>
    </row>
    <row r="104" spans="1:8" ht="99.95" customHeight="1" x14ac:dyDescent="0.25">
      <c r="A104" s="164" t="s">
        <v>53</v>
      </c>
      <c r="B104" s="103" t="s">
        <v>527</v>
      </c>
      <c r="C104" s="192" t="s">
        <v>528</v>
      </c>
      <c r="D104" s="244" t="s">
        <v>809</v>
      </c>
      <c r="E104" s="193"/>
    </row>
    <row r="105" spans="1:8" ht="99.95" customHeight="1" x14ac:dyDescent="0.25">
      <c r="A105" s="164" t="s">
        <v>151</v>
      </c>
      <c r="B105" s="109" t="s">
        <v>225</v>
      </c>
      <c r="C105" s="145" t="s">
        <v>226</v>
      </c>
      <c r="D105" s="190" t="s">
        <v>68</v>
      </c>
      <c r="E105" s="237" t="s">
        <v>69</v>
      </c>
    </row>
    <row r="106" spans="1:8" ht="99.95" customHeight="1" x14ac:dyDescent="0.25">
      <c r="A106" s="164" t="s">
        <v>51</v>
      </c>
      <c r="B106" s="109" t="s">
        <v>415</v>
      </c>
      <c r="C106" s="145" t="s">
        <v>70</v>
      </c>
      <c r="D106" s="190" t="s">
        <v>443</v>
      </c>
      <c r="E106" s="287" t="s">
        <v>172</v>
      </c>
    </row>
    <row r="107" spans="1:8" ht="99.95" customHeight="1" x14ac:dyDescent="0.25">
      <c r="A107" s="164" t="s">
        <v>51</v>
      </c>
      <c r="B107" s="103" t="s">
        <v>52</v>
      </c>
      <c r="C107" s="145" t="s">
        <v>177</v>
      </c>
      <c r="D107" s="190" t="s">
        <v>443</v>
      </c>
      <c r="E107" s="287" t="s">
        <v>172</v>
      </c>
    </row>
    <row r="108" spans="1:8" ht="99.95" customHeight="1" x14ac:dyDescent="0.25">
      <c r="A108" s="164" t="s">
        <v>51</v>
      </c>
      <c r="B108" s="163" t="s">
        <v>761</v>
      </c>
      <c r="C108" s="352" t="s">
        <v>762</v>
      </c>
      <c r="D108" s="98" t="s">
        <v>763</v>
      </c>
      <c r="E108" s="287"/>
    </row>
    <row r="109" spans="1:8" ht="99.95" customHeight="1" x14ac:dyDescent="0.25">
      <c r="A109" s="164" t="s">
        <v>51</v>
      </c>
      <c r="B109" s="109" t="s">
        <v>297</v>
      </c>
      <c r="C109" s="145" t="s">
        <v>298</v>
      </c>
      <c r="D109" s="103" t="s">
        <v>810</v>
      </c>
      <c r="E109" s="72" t="s">
        <v>203</v>
      </c>
    </row>
    <row r="110" spans="1:8" ht="99.95" customHeight="1" x14ac:dyDescent="0.25">
      <c r="A110" s="164" t="s">
        <v>51</v>
      </c>
      <c r="B110" s="109" t="s">
        <v>777</v>
      </c>
      <c r="C110" s="339" t="s">
        <v>778</v>
      </c>
      <c r="D110" s="103" t="s">
        <v>779</v>
      </c>
      <c r="E110" s="72"/>
    </row>
    <row r="111" spans="1:8" ht="99.95" customHeight="1" x14ac:dyDescent="0.25">
      <c r="A111" s="164" t="s">
        <v>51</v>
      </c>
      <c r="B111" s="103" t="s">
        <v>299</v>
      </c>
      <c r="C111" s="225" t="s">
        <v>187</v>
      </c>
      <c r="D111" s="303" t="s">
        <v>546</v>
      </c>
      <c r="E111" s="288" t="s">
        <v>586</v>
      </c>
    </row>
    <row r="112" spans="1:8" ht="99.95" customHeight="1" x14ac:dyDescent="0.25">
      <c r="A112" s="164" t="s">
        <v>240</v>
      </c>
      <c r="B112" s="139" t="s">
        <v>213</v>
      </c>
      <c r="C112" s="181" t="s">
        <v>566</v>
      </c>
      <c r="D112" s="98" t="s">
        <v>581</v>
      </c>
      <c r="E112" s="72" t="s">
        <v>567</v>
      </c>
    </row>
    <row r="113" spans="1:5" ht="99.95" customHeight="1" x14ac:dyDescent="0.25">
      <c r="A113" s="164" t="s">
        <v>240</v>
      </c>
      <c r="B113" s="139" t="s">
        <v>349</v>
      </c>
      <c r="C113" s="181" t="s">
        <v>347</v>
      </c>
      <c r="D113" s="91" t="s">
        <v>811</v>
      </c>
      <c r="E113" s="293" t="s">
        <v>350</v>
      </c>
    </row>
    <row r="114" spans="1:5" ht="99.95" customHeight="1" x14ac:dyDescent="0.25">
      <c r="A114" s="164" t="s">
        <v>240</v>
      </c>
      <c r="B114" s="221" t="s">
        <v>764</v>
      </c>
      <c r="C114" s="180" t="s">
        <v>765</v>
      </c>
      <c r="D114" s="364" t="s">
        <v>766</v>
      </c>
      <c r="E114" s="293"/>
    </row>
    <row r="115" spans="1:5" s="1" customFormat="1" ht="99.95" customHeight="1" x14ac:dyDescent="0.25">
      <c r="A115" s="164" t="s">
        <v>51</v>
      </c>
      <c r="B115" s="103" t="s">
        <v>409</v>
      </c>
      <c r="C115" s="147" t="s">
        <v>410</v>
      </c>
      <c r="D115" s="98" t="s">
        <v>411</v>
      </c>
      <c r="E115" s="188" t="s">
        <v>412</v>
      </c>
    </row>
    <row r="116" spans="1:5" ht="99.95" customHeight="1" x14ac:dyDescent="0.25">
      <c r="A116" s="164" t="s">
        <v>51</v>
      </c>
      <c r="B116" s="139" t="s">
        <v>300</v>
      </c>
      <c r="C116" s="151" t="s">
        <v>301</v>
      </c>
      <c r="D116" s="139" t="s">
        <v>413</v>
      </c>
      <c r="E116" s="72" t="s">
        <v>164</v>
      </c>
    </row>
    <row r="117" spans="1:5" ht="99.95" customHeight="1" x14ac:dyDescent="0.25">
      <c r="A117" s="164" t="s">
        <v>51</v>
      </c>
      <c r="B117" s="109" t="s">
        <v>192</v>
      </c>
      <c r="C117" s="145" t="s">
        <v>193</v>
      </c>
      <c r="D117" s="109" t="s">
        <v>194</v>
      </c>
      <c r="E117" s="110" t="s">
        <v>195</v>
      </c>
    </row>
    <row r="118" spans="1:5" ht="99.95" customHeight="1" x14ac:dyDescent="0.25">
      <c r="A118" s="164" t="s">
        <v>51</v>
      </c>
      <c r="B118" s="103" t="s">
        <v>467</v>
      </c>
      <c r="C118" s="147" t="s">
        <v>394</v>
      </c>
      <c r="D118" s="98" t="s">
        <v>767</v>
      </c>
      <c r="E118" s="281" t="s">
        <v>651</v>
      </c>
    </row>
    <row r="119" spans="1:5" ht="99.95" customHeight="1" x14ac:dyDescent="0.25">
      <c r="A119" s="164" t="s">
        <v>51</v>
      </c>
      <c r="B119" s="103" t="s">
        <v>494</v>
      </c>
      <c r="C119" s="147" t="s">
        <v>768</v>
      </c>
      <c r="D119" s="98" t="s">
        <v>769</v>
      </c>
      <c r="E119" s="281"/>
    </row>
    <row r="120" spans="1:5" ht="99.95" customHeight="1" x14ac:dyDescent="0.25">
      <c r="A120" s="164" t="s">
        <v>53</v>
      </c>
      <c r="B120" s="103" t="s">
        <v>812</v>
      </c>
      <c r="C120" s="147" t="s">
        <v>813</v>
      </c>
      <c r="D120" s="244" t="s">
        <v>814</v>
      </c>
      <c r="E120" s="281"/>
    </row>
    <row r="121" spans="1:5" ht="99.95" customHeight="1" x14ac:dyDescent="0.25">
      <c r="A121" s="164" t="s">
        <v>51</v>
      </c>
      <c r="B121" s="103" t="s">
        <v>532</v>
      </c>
      <c r="C121" s="147" t="s">
        <v>533</v>
      </c>
      <c r="D121" s="87" t="s">
        <v>534</v>
      </c>
      <c r="E121" s="281"/>
    </row>
    <row r="122" spans="1:5" ht="99.95" customHeight="1" x14ac:dyDescent="0.25">
      <c r="A122" s="165" t="s">
        <v>51</v>
      </c>
      <c r="B122" s="109" t="s">
        <v>196</v>
      </c>
      <c r="C122" s="145" t="s">
        <v>165</v>
      </c>
      <c r="D122" s="125" t="s">
        <v>197</v>
      </c>
      <c r="E122" s="72" t="s">
        <v>166</v>
      </c>
    </row>
    <row r="123" spans="1:5" ht="99.95" customHeight="1" x14ac:dyDescent="0.25">
      <c r="A123" s="165" t="s">
        <v>151</v>
      </c>
      <c r="B123" s="109" t="s">
        <v>445</v>
      </c>
      <c r="C123" s="145" t="s">
        <v>447</v>
      </c>
      <c r="D123" s="125" t="s">
        <v>446</v>
      </c>
      <c r="E123" s="281" t="s">
        <v>651</v>
      </c>
    </row>
    <row r="124" spans="1:5" ht="99.95" customHeight="1" x14ac:dyDescent="0.25">
      <c r="A124" s="166" t="s">
        <v>51</v>
      </c>
      <c r="B124" s="103" t="s">
        <v>381</v>
      </c>
      <c r="C124" s="147" t="s">
        <v>382</v>
      </c>
      <c r="D124" s="365" t="s">
        <v>815</v>
      </c>
      <c r="E124" s="108" t="s">
        <v>383</v>
      </c>
    </row>
    <row r="125" spans="1:5" ht="99.95" customHeight="1" x14ac:dyDescent="0.25">
      <c r="A125" s="167" t="s">
        <v>51</v>
      </c>
      <c r="B125" s="163" t="s">
        <v>438</v>
      </c>
      <c r="C125" s="158" t="s">
        <v>439</v>
      </c>
      <c r="D125" s="87" t="s">
        <v>691</v>
      </c>
      <c r="E125" s="108" t="s">
        <v>692</v>
      </c>
    </row>
    <row r="126" spans="1:5" ht="99.95" customHeight="1" x14ac:dyDescent="0.25">
      <c r="A126" s="164" t="s">
        <v>221</v>
      </c>
      <c r="B126" s="103" t="s">
        <v>198</v>
      </c>
      <c r="C126" s="148" t="s">
        <v>199</v>
      </c>
      <c r="D126" s="138" t="s">
        <v>816</v>
      </c>
      <c r="E126" s="229" t="s">
        <v>200</v>
      </c>
    </row>
    <row r="127" spans="1:5" ht="99.95" customHeight="1" x14ac:dyDescent="0.25">
      <c r="A127" s="164" t="s">
        <v>51</v>
      </c>
      <c r="B127" s="109" t="s">
        <v>126</v>
      </c>
      <c r="C127" s="145" t="s">
        <v>127</v>
      </c>
      <c r="D127" s="357" t="s">
        <v>770</v>
      </c>
      <c r="E127" s="214" t="s">
        <v>58</v>
      </c>
    </row>
    <row r="128" spans="1:5" ht="99.95" customHeight="1" x14ac:dyDescent="0.25">
      <c r="A128" s="164" t="s">
        <v>51</v>
      </c>
      <c r="B128" s="109" t="s">
        <v>261</v>
      </c>
      <c r="C128" s="147" t="s">
        <v>539</v>
      </c>
      <c r="D128" s="305" t="s">
        <v>538</v>
      </c>
      <c r="E128" s="285" t="s">
        <v>184</v>
      </c>
    </row>
    <row r="129" spans="1:5" s="150" customFormat="1" ht="99.95" customHeight="1" x14ac:dyDescent="0.25">
      <c r="A129" s="165" t="s">
        <v>220</v>
      </c>
      <c r="B129" s="103" t="s">
        <v>419</v>
      </c>
      <c r="C129" s="148" t="s">
        <v>420</v>
      </c>
      <c r="D129" s="140" t="s">
        <v>817</v>
      </c>
      <c r="E129" s="110" t="s">
        <v>149</v>
      </c>
    </row>
    <row r="130" spans="1:5" s="150" customFormat="1" ht="99.95" customHeight="1" x14ac:dyDescent="0.25">
      <c r="A130" s="164" t="s">
        <v>51</v>
      </c>
      <c r="B130" s="109" t="s">
        <v>771</v>
      </c>
      <c r="C130" s="145" t="s">
        <v>772</v>
      </c>
      <c r="D130" s="140"/>
      <c r="E130" s="110"/>
    </row>
    <row r="131" spans="1:5" s="150" customFormat="1" ht="99.95" customHeight="1" x14ac:dyDescent="0.25">
      <c r="A131" s="164" t="s">
        <v>51</v>
      </c>
      <c r="B131" s="139" t="s">
        <v>417</v>
      </c>
      <c r="C131" s="155" t="s">
        <v>686</v>
      </c>
      <c r="D131" s="98" t="s">
        <v>773</v>
      </c>
      <c r="E131" s="179" t="s">
        <v>444</v>
      </c>
    </row>
    <row r="132" spans="1:5" ht="99.95" customHeight="1" x14ac:dyDescent="0.25">
      <c r="A132" s="164" t="s">
        <v>51</v>
      </c>
      <c r="B132" s="103" t="s">
        <v>236</v>
      </c>
      <c r="C132" s="148" t="s">
        <v>237</v>
      </c>
      <c r="D132" s="141" t="s">
        <v>238</v>
      </c>
      <c r="E132" s="108" t="s">
        <v>223</v>
      </c>
    </row>
    <row r="133" spans="1:5" s="150" customFormat="1" ht="99.95" customHeight="1" x14ac:dyDescent="0.25">
      <c r="A133" s="164" t="s">
        <v>51</v>
      </c>
      <c r="B133" s="139" t="s">
        <v>118</v>
      </c>
      <c r="C133" s="155" t="s">
        <v>146</v>
      </c>
      <c r="D133" s="98" t="s">
        <v>774</v>
      </c>
      <c r="E133" s="281" t="s">
        <v>651</v>
      </c>
    </row>
    <row r="134" spans="1:5" s="150" customFormat="1" ht="99.95" customHeight="1" x14ac:dyDescent="0.25">
      <c r="A134" s="164" t="s">
        <v>51</v>
      </c>
      <c r="B134" s="139" t="s">
        <v>775</v>
      </c>
      <c r="C134" s="352" t="s">
        <v>776</v>
      </c>
      <c r="D134" s="366" t="s">
        <v>818</v>
      </c>
      <c r="E134" s="281"/>
    </row>
    <row r="135" spans="1:5" s="150" customFormat="1" ht="99.95" customHeight="1" x14ac:dyDescent="0.25">
      <c r="A135" s="165" t="s">
        <v>51</v>
      </c>
      <c r="B135" s="109" t="s">
        <v>76</v>
      </c>
      <c r="C135" s="148" t="s">
        <v>75</v>
      </c>
      <c r="D135" s="190" t="s">
        <v>19</v>
      </c>
      <c r="E135" s="191" t="s">
        <v>77</v>
      </c>
    </row>
    <row r="136" spans="1:5" s="150" customFormat="1" ht="99.95" customHeight="1" x14ac:dyDescent="0.25">
      <c r="A136" s="165" t="s">
        <v>51</v>
      </c>
      <c r="B136" s="103" t="s">
        <v>302</v>
      </c>
      <c r="C136" s="148" t="s">
        <v>303</v>
      </c>
      <c r="D136" s="98" t="s">
        <v>406</v>
      </c>
      <c r="E136" s="72" t="s">
        <v>407</v>
      </c>
    </row>
    <row r="137" spans="1:5" s="150" customFormat="1" ht="99.95" customHeight="1" x14ac:dyDescent="0.25">
      <c r="A137" s="165" t="s">
        <v>51</v>
      </c>
      <c r="B137" s="103" t="s">
        <v>201</v>
      </c>
      <c r="C137" s="148" t="s">
        <v>199</v>
      </c>
      <c r="D137" s="103" t="s">
        <v>819</v>
      </c>
      <c r="E137" s="108" t="s">
        <v>202</v>
      </c>
    </row>
    <row r="138" spans="1:5" s="150" customFormat="1" ht="99.95" customHeight="1" x14ac:dyDescent="0.25">
      <c r="A138" s="165" t="s">
        <v>151</v>
      </c>
      <c r="B138" s="109" t="s">
        <v>241</v>
      </c>
      <c r="C138" s="145" t="s">
        <v>43</v>
      </c>
      <c r="D138" s="125" t="s">
        <v>44</v>
      </c>
      <c r="E138" s="72" t="s">
        <v>242</v>
      </c>
    </row>
    <row r="139" spans="1:5" s="150" customFormat="1" ht="99.95" customHeight="1" x14ac:dyDescent="0.25">
      <c r="A139" s="164" t="s">
        <v>51</v>
      </c>
      <c r="B139" s="109" t="s">
        <v>27</v>
      </c>
      <c r="C139" s="145" t="s">
        <v>15</v>
      </c>
      <c r="D139" s="98" t="s">
        <v>568</v>
      </c>
      <c r="E139" s="110" t="s">
        <v>569</v>
      </c>
    </row>
    <row r="140" spans="1:5" s="150" customFormat="1" ht="99.95" customHeight="1" x14ac:dyDescent="0.25">
      <c r="A140" s="165" t="s">
        <v>51</v>
      </c>
      <c r="B140" s="103" t="s">
        <v>418</v>
      </c>
      <c r="C140" s="148" t="s">
        <v>29</v>
      </c>
      <c r="D140" s="228" t="s">
        <v>30</v>
      </c>
      <c r="E140" s="260" t="s">
        <v>31</v>
      </c>
    </row>
    <row r="141" spans="1:5" s="150" customFormat="1" ht="99.95" customHeight="1" x14ac:dyDescent="0.25">
      <c r="A141" s="165" t="s">
        <v>51</v>
      </c>
      <c r="B141" s="109" t="s">
        <v>39</v>
      </c>
      <c r="C141" s="145" t="s">
        <v>40</v>
      </c>
      <c r="D141" s="87" t="s">
        <v>9</v>
      </c>
      <c r="E141" s="72" t="s">
        <v>428</v>
      </c>
    </row>
    <row r="142" spans="1:5" s="150" customFormat="1" ht="99.95" customHeight="1" x14ac:dyDescent="0.25">
      <c r="A142" s="164" t="s">
        <v>51</v>
      </c>
      <c r="B142" s="163" t="s">
        <v>489</v>
      </c>
      <c r="C142" s="148" t="s">
        <v>91</v>
      </c>
      <c r="D142" s="98" t="s">
        <v>628</v>
      </c>
      <c r="E142" s="282" t="s">
        <v>92</v>
      </c>
    </row>
    <row r="143" spans="1:5" s="150" customFormat="1" ht="99.95" customHeight="1" x14ac:dyDescent="0.25">
      <c r="A143" s="165" t="s">
        <v>51</v>
      </c>
      <c r="B143" s="217" t="s">
        <v>304</v>
      </c>
      <c r="C143" s="148" t="s">
        <v>208</v>
      </c>
      <c r="D143" s="87" t="s">
        <v>671</v>
      </c>
      <c r="E143" s="289" t="s">
        <v>672</v>
      </c>
    </row>
    <row r="144" spans="1:5" s="150" customFormat="1" ht="99.95" customHeight="1" x14ac:dyDescent="0.25">
      <c r="A144" s="165" t="s">
        <v>51</v>
      </c>
      <c r="B144" s="163" t="s">
        <v>491</v>
      </c>
      <c r="C144" s="148" t="s">
        <v>390</v>
      </c>
      <c r="D144" s="87" t="s">
        <v>73</v>
      </c>
      <c r="E144" s="110" t="s">
        <v>74</v>
      </c>
    </row>
    <row r="145" spans="1:107" s="150" customFormat="1" ht="99.95" customHeight="1" x14ac:dyDescent="0.25">
      <c r="A145" s="165" t="s">
        <v>79</v>
      </c>
      <c r="B145" s="163" t="s">
        <v>673</v>
      </c>
      <c r="C145" s="262" t="s">
        <v>674</v>
      </c>
      <c r="D145" s="87" t="s">
        <v>675</v>
      </c>
      <c r="E145" s="110" t="s">
        <v>676</v>
      </c>
    </row>
    <row r="146" spans="1:107" s="150" customFormat="1" ht="99.95" customHeight="1" x14ac:dyDescent="0.25">
      <c r="A146" s="165" t="s">
        <v>53</v>
      </c>
      <c r="B146" s="103" t="s">
        <v>529</v>
      </c>
      <c r="C146" s="262" t="s">
        <v>530</v>
      </c>
      <c r="D146" s="244" t="s">
        <v>531</v>
      </c>
      <c r="E146" s="110"/>
    </row>
    <row r="147" spans="1:107" s="150" customFormat="1" ht="99.95" customHeight="1" x14ac:dyDescent="0.25">
      <c r="A147" s="166" t="s">
        <v>51</v>
      </c>
      <c r="B147" s="109" t="s">
        <v>305</v>
      </c>
      <c r="C147" s="225" t="s">
        <v>582</v>
      </c>
      <c r="D147" s="98" t="s">
        <v>634</v>
      </c>
      <c r="E147" s="188" t="s">
        <v>395</v>
      </c>
    </row>
    <row r="148" spans="1:107" s="150" customFormat="1" ht="99.95" customHeight="1" x14ac:dyDescent="0.25">
      <c r="A148" s="166" t="s">
        <v>51</v>
      </c>
      <c r="B148" s="172" t="s">
        <v>36</v>
      </c>
      <c r="C148" s="147" t="s">
        <v>37</v>
      </c>
      <c r="D148" s="310" t="s">
        <v>593</v>
      </c>
      <c r="E148" s="108" t="s">
        <v>38</v>
      </c>
    </row>
    <row r="149" spans="1:107" s="150" customFormat="1" ht="99.95" customHeight="1" x14ac:dyDescent="0.25">
      <c r="A149" s="164" t="s">
        <v>51</v>
      </c>
      <c r="B149" s="218" t="s">
        <v>227</v>
      </c>
      <c r="C149" s="149" t="s">
        <v>228</v>
      </c>
      <c r="D149" s="98" t="s">
        <v>564</v>
      </c>
      <c r="E149" s="153" t="s">
        <v>565</v>
      </c>
    </row>
    <row r="150" spans="1:107" s="150" customFormat="1" ht="99.95" customHeight="1" x14ac:dyDescent="0.25">
      <c r="A150" s="166" t="s">
        <v>51</v>
      </c>
      <c r="B150" s="103" t="s">
        <v>10</v>
      </c>
      <c r="C150" s="148" t="s">
        <v>11</v>
      </c>
      <c r="D150" s="87" t="s">
        <v>12</v>
      </c>
      <c r="E150" s="108" t="s">
        <v>13</v>
      </c>
    </row>
    <row r="151" spans="1:107" ht="67.5" x14ac:dyDescent="0.25">
      <c r="A151" s="164" t="s">
        <v>51</v>
      </c>
      <c r="B151" s="109" t="s">
        <v>319</v>
      </c>
      <c r="C151" s="149" t="s">
        <v>130</v>
      </c>
      <c r="D151" s="107" t="s">
        <v>320</v>
      </c>
      <c r="E151" s="230" t="s">
        <v>574</v>
      </c>
    </row>
    <row r="152" spans="1:107" ht="202.5" x14ac:dyDescent="0.25">
      <c r="A152" s="165" t="s">
        <v>51</v>
      </c>
      <c r="B152" s="247" t="s">
        <v>205</v>
      </c>
      <c r="C152" s="248" t="s">
        <v>206</v>
      </c>
      <c r="D152" s="310" t="s">
        <v>591</v>
      </c>
      <c r="E152" s="249" t="s">
        <v>431</v>
      </c>
    </row>
    <row r="153" spans="1:107" ht="45" x14ac:dyDescent="0.25">
      <c r="A153" s="165" t="s">
        <v>51</v>
      </c>
      <c r="B153" s="109" t="s">
        <v>660</v>
      </c>
      <c r="C153" s="145" t="s">
        <v>448</v>
      </c>
      <c r="D153" s="87" t="s">
        <v>820</v>
      </c>
      <c r="E153" s="233" t="s">
        <v>326</v>
      </c>
    </row>
    <row r="154" spans="1:107" ht="56.25" x14ac:dyDescent="0.25">
      <c r="A154" s="164" t="s">
        <v>51</v>
      </c>
      <c r="B154" s="217" t="s">
        <v>306</v>
      </c>
      <c r="C154" s="157" t="s">
        <v>683</v>
      </c>
      <c r="D154" s="87" t="s">
        <v>780</v>
      </c>
      <c r="E154" s="154" t="s">
        <v>684</v>
      </c>
    </row>
    <row r="155" spans="1:107" s="118" customFormat="1" ht="69.95" customHeight="1" x14ac:dyDescent="0.25">
      <c r="A155" s="165" t="s">
        <v>51</v>
      </c>
      <c r="B155" s="103" t="s">
        <v>391</v>
      </c>
      <c r="C155" s="148" t="s">
        <v>392</v>
      </c>
      <c r="D155" s="103" t="s">
        <v>821</v>
      </c>
      <c r="E155" s="282" t="s">
        <v>393</v>
      </c>
    </row>
    <row r="156" spans="1:107" s="118" customFormat="1" ht="129.75" customHeight="1" x14ac:dyDescent="0.25">
      <c r="A156" s="165" t="s">
        <v>51</v>
      </c>
      <c r="B156" s="103" t="s">
        <v>822</v>
      </c>
      <c r="C156" s="148"/>
      <c r="D156" s="109" t="s">
        <v>823</v>
      </c>
      <c r="E156" s="282"/>
    </row>
    <row r="157" spans="1:107" s="118" customFormat="1" ht="69.95" customHeight="1" x14ac:dyDescent="0.25">
      <c r="A157" s="165" t="s">
        <v>51</v>
      </c>
      <c r="B157" s="109" t="s">
        <v>307</v>
      </c>
      <c r="C157" s="148" t="s">
        <v>234</v>
      </c>
      <c r="D157" s="98" t="s">
        <v>222</v>
      </c>
      <c r="E157" s="108" t="s">
        <v>148</v>
      </c>
    </row>
    <row r="158" spans="1:107" s="222" customFormat="1" ht="99.95" customHeight="1" x14ac:dyDescent="0.2">
      <c r="A158" s="165" t="s">
        <v>151</v>
      </c>
      <c r="B158" s="245" t="s">
        <v>210</v>
      </c>
      <c r="C158" s="250" t="s">
        <v>21</v>
      </c>
      <c r="D158" s="245" t="s">
        <v>432</v>
      </c>
      <c r="E158" s="245" t="s">
        <v>433</v>
      </c>
      <c r="F158" s="223"/>
      <c r="G158" s="223"/>
      <c r="H158" s="223"/>
      <c r="I158" s="223"/>
      <c r="J158" s="223"/>
      <c r="K158" s="223"/>
      <c r="L158" s="223"/>
      <c r="M158" s="223"/>
      <c r="N158" s="223"/>
      <c r="O158" s="223"/>
      <c r="P158" s="223"/>
      <c r="Q158" s="223"/>
      <c r="R158" s="223"/>
      <c r="S158" s="223"/>
      <c r="T158" s="223"/>
      <c r="U158" s="223"/>
      <c r="V158" s="223"/>
      <c r="W158" s="223"/>
      <c r="X158" s="223"/>
      <c r="Y158" s="223"/>
      <c r="Z158" s="223"/>
      <c r="AA158" s="223"/>
      <c r="AB158" s="223"/>
      <c r="AC158" s="223"/>
      <c r="AD158" s="223"/>
      <c r="AE158" s="223"/>
      <c r="AF158" s="223"/>
      <c r="AG158" s="223"/>
      <c r="AH158" s="223"/>
      <c r="AI158" s="223"/>
      <c r="AJ158" s="223"/>
      <c r="AK158" s="223"/>
      <c r="AL158" s="223"/>
      <c r="AM158" s="223"/>
      <c r="AN158" s="223"/>
      <c r="AO158" s="223"/>
      <c r="AP158" s="223"/>
      <c r="AQ158" s="223"/>
      <c r="AR158" s="223"/>
      <c r="AS158" s="223"/>
      <c r="AT158" s="223"/>
      <c r="AU158" s="223"/>
      <c r="AV158" s="223"/>
      <c r="AW158" s="223"/>
      <c r="AX158" s="223"/>
      <c r="AY158" s="223"/>
      <c r="AZ158" s="223"/>
      <c r="BA158" s="223"/>
      <c r="BB158" s="223"/>
      <c r="BC158" s="223"/>
      <c r="BD158" s="223"/>
      <c r="BE158" s="223"/>
      <c r="BF158" s="223"/>
      <c r="BG158" s="223"/>
      <c r="BH158" s="223"/>
      <c r="BI158" s="223"/>
      <c r="BJ158" s="223"/>
      <c r="BK158" s="223"/>
      <c r="BL158" s="223"/>
      <c r="BM158" s="223"/>
      <c r="BN158" s="223"/>
      <c r="BO158" s="223"/>
      <c r="BP158" s="223"/>
      <c r="BQ158" s="223"/>
      <c r="BR158" s="223"/>
      <c r="BS158" s="223"/>
      <c r="BT158" s="223"/>
      <c r="BU158" s="223"/>
      <c r="BV158" s="223"/>
      <c r="BW158" s="223"/>
      <c r="BX158" s="223"/>
      <c r="BY158" s="223"/>
      <c r="BZ158" s="223"/>
      <c r="CA158" s="223"/>
      <c r="CB158" s="223"/>
      <c r="CC158" s="223"/>
      <c r="CD158" s="223"/>
      <c r="CE158" s="223"/>
      <c r="CF158" s="223"/>
      <c r="CG158" s="223"/>
      <c r="CH158" s="223"/>
      <c r="CI158" s="223"/>
      <c r="CJ158" s="223"/>
      <c r="CK158" s="223"/>
      <c r="CL158" s="223"/>
      <c r="CM158" s="223"/>
      <c r="CN158" s="223"/>
      <c r="CO158" s="223"/>
      <c r="CP158" s="223"/>
      <c r="CQ158" s="223"/>
      <c r="CR158" s="223"/>
      <c r="CS158" s="223"/>
      <c r="CT158" s="223"/>
      <c r="CU158" s="223"/>
      <c r="CV158" s="223"/>
      <c r="CW158" s="223"/>
      <c r="CX158" s="223"/>
      <c r="CY158" s="223"/>
      <c r="CZ158" s="223"/>
      <c r="DA158" s="223"/>
      <c r="DB158" s="223"/>
      <c r="DC158" s="223"/>
    </row>
    <row r="159" spans="1:107" ht="67.5" x14ac:dyDescent="0.25">
      <c r="A159" s="165" t="s">
        <v>51</v>
      </c>
      <c r="B159" s="245" t="s">
        <v>309</v>
      </c>
      <c r="C159" s="245" t="s">
        <v>421</v>
      </c>
      <c r="D159" s="246" t="s">
        <v>429</v>
      </c>
      <c r="E159" s="245" t="s">
        <v>430</v>
      </c>
    </row>
    <row r="160" spans="1:107" ht="33.75" x14ac:dyDescent="0.25">
      <c r="A160" s="165" t="s">
        <v>53</v>
      </c>
      <c r="B160" s="103" t="s">
        <v>824</v>
      </c>
      <c r="C160" s="339" t="s">
        <v>825</v>
      </c>
      <c r="D160" s="103" t="s">
        <v>826</v>
      </c>
      <c r="E160" s="103"/>
    </row>
    <row r="161" spans="1:5" ht="78.75" x14ac:dyDescent="0.25">
      <c r="A161" s="165" t="s">
        <v>51</v>
      </c>
      <c r="B161" s="109" t="s">
        <v>25</v>
      </c>
      <c r="C161" s="145" t="s">
        <v>458</v>
      </c>
      <c r="D161" s="87" t="s">
        <v>781</v>
      </c>
      <c r="E161" s="213" t="s">
        <v>20</v>
      </c>
    </row>
    <row r="162" spans="1:5" ht="22.5" x14ac:dyDescent="0.25">
      <c r="A162" s="165" t="s">
        <v>53</v>
      </c>
      <c r="B162" s="109" t="s">
        <v>525</v>
      </c>
      <c r="C162" s="145" t="s">
        <v>526</v>
      </c>
      <c r="D162" s="244" t="s">
        <v>827</v>
      </c>
      <c r="E162" s="213"/>
    </row>
    <row r="163" spans="1:5" ht="22.5" x14ac:dyDescent="0.25">
      <c r="A163" s="165" t="s">
        <v>151</v>
      </c>
      <c r="B163" s="109" t="s">
        <v>642</v>
      </c>
      <c r="C163" s="145" t="s">
        <v>643</v>
      </c>
      <c r="D163" s="364" t="s">
        <v>828</v>
      </c>
      <c r="E163" s="282" t="s">
        <v>404</v>
      </c>
    </row>
  </sheetData>
  <phoneticPr fontId="0" type="noConversion"/>
  <pageMargins left="0.70866141732283472" right="0.70866141732283472"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82"/>
  <sheetViews>
    <sheetView zoomScale="75" zoomScaleNormal="70" workbookViewId="0">
      <selection activeCell="C9" sqref="C9"/>
    </sheetView>
  </sheetViews>
  <sheetFormatPr defaultRowHeight="15" x14ac:dyDescent="0.25"/>
  <cols>
    <col min="1" max="1" width="20.85546875" style="4" customWidth="1"/>
    <col min="2" max="2" width="52" style="22" customWidth="1"/>
    <col min="3" max="3" width="68.42578125" style="4" customWidth="1"/>
    <col min="4" max="4" width="68.85546875" style="4" customWidth="1"/>
    <col min="5" max="5" width="16.140625" style="38" customWidth="1"/>
    <col min="6" max="6" width="16.140625" style="12" customWidth="1"/>
    <col min="7" max="7" width="41.85546875" style="12" customWidth="1"/>
  </cols>
  <sheetData>
    <row r="1" spans="1:11" ht="22.5" x14ac:dyDescent="0.25">
      <c r="A1" s="47"/>
      <c r="B1" s="47" t="s">
        <v>488</v>
      </c>
      <c r="C1" s="47" t="s">
        <v>624</v>
      </c>
    </row>
    <row r="3" spans="1:11" x14ac:dyDescent="0.25">
      <c r="A3" s="4" t="s">
        <v>266</v>
      </c>
      <c r="B3" s="23"/>
      <c r="C3" s="22">
        <v>1</v>
      </c>
      <c r="D3" s="105" t="s">
        <v>314</v>
      </c>
      <c r="F3" s="44"/>
      <c r="G3" s="44"/>
    </row>
    <row r="4" spans="1:11" x14ac:dyDescent="0.25">
      <c r="A4" s="4" t="s">
        <v>270</v>
      </c>
      <c r="B4" s="24"/>
      <c r="C4" s="22">
        <v>2</v>
      </c>
      <c r="D4" s="128" t="s">
        <v>316</v>
      </c>
      <c r="E4" s="43"/>
      <c r="F4" s="44"/>
      <c r="G4" s="44"/>
    </row>
    <row r="5" spans="1:11" x14ac:dyDescent="0.25">
      <c r="A5" s="5" t="s">
        <v>267</v>
      </c>
      <c r="B5" s="25"/>
      <c r="C5" s="29">
        <v>3</v>
      </c>
      <c r="D5" s="48" t="s">
        <v>315</v>
      </c>
      <c r="E5" s="40"/>
      <c r="F5" s="13"/>
      <c r="G5" s="13"/>
    </row>
    <row r="6" spans="1:11" x14ac:dyDescent="0.25">
      <c r="A6" s="5" t="s">
        <v>268</v>
      </c>
      <c r="B6" s="26"/>
      <c r="C6" s="31">
        <v>4</v>
      </c>
      <c r="D6" s="49"/>
      <c r="E6" s="40"/>
      <c r="F6" s="14"/>
      <c r="G6" s="14"/>
    </row>
    <row r="7" spans="1:11" x14ac:dyDescent="0.25">
      <c r="A7" s="5" t="s">
        <v>269</v>
      </c>
      <c r="B7" s="27"/>
      <c r="C7" s="31">
        <v>5</v>
      </c>
      <c r="D7" s="117" t="s">
        <v>459</v>
      </c>
      <c r="E7" s="40"/>
      <c r="F7" s="14"/>
      <c r="G7" s="14"/>
    </row>
    <row r="8" spans="1:11" x14ac:dyDescent="0.25">
      <c r="A8" s="5" t="s">
        <v>310</v>
      </c>
      <c r="B8" s="30"/>
      <c r="C8" s="31">
        <v>6</v>
      </c>
      <c r="D8" s="6"/>
      <c r="E8" s="40"/>
      <c r="F8" s="14"/>
      <c r="G8" s="14"/>
    </row>
    <row r="9" spans="1:11" x14ac:dyDescent="0.25">
      <c r="A9" s="15"/>
      <c r="B9" s="28"/>
      <c r="C9" s="41"/>
      <c r="D9" s="7"/>
      <c r="E9" s="42"/>
      <c r="F9" s="16"/>
      <c r="G9" s="45"/>
    </row>
    <row r="10" spans="1:11" s="1" customFormat="1" ht="24.95" customHeight="1" x14ac:dyDescent="0.25">
      <c r="A10" s="18" t="s">
        <v>488</v>
      </c>
      <c r="B10" s="33" t="s">
        <v>256</v>
      </c>
      <c r="C10" s="35" t="s">
        <v>262</v>
      </c>
      <c r="D10" s="35" t="s">
        <v>263</v>
      </c>
      <c r="E10" s="36" t="s">
        <v>265</v>
      </c>
      <c r="F10" s="36" t="s">
        <v>128</v>
      </c>
      <c r="G10" s="36" t="s">
        <v>264</v>
      </c>
      <c r="H10" s="51"/>
      <c r="I10" s="51"/>
      <c r="J10" s="51"/>
      <c r="K10" s="51"/>
    </row>
    <row r="11" spans="1:11" s="1" customFormat="1" ht="19.5" customHeight="1" x14ac:dyDescent="0.25">
      <c r="A11" s="18" t="s">
        <v>308</v>
      </c>
      <c r="B11" s="33"/>
      <c r="C11" s="35"/>
      <c r="D11" s="35"/>
      <c r="E11" s="36"/>
      <c r="F11" s="36"/>
      <c r="G11" s="36"/>
      <c r="H11" s="51"/>
      <c r="I11" s="51"/>
      <c r="J11" s="51"/>
      <c r="K11" s="51"/>
    </row>
    <row r="12" spans="1:11" s="1" customFormat="1" ht="19.5" customHeight="1" x14ac:dyDescent="0.25">
      <c r="A12" s="18"/>
      <c r="B12" s="33"/>
      <c r="C12" s="35"/>
      <c r="D12" s="35"/>
      <c r="E12" s="36"/>
      <c r="F12" s="36"/>
      <c r="G12" s="36"/>
      <c r="H12" s="51"/>
      <c r="I12" s="51"/>
      <c r="J12" s="51"/>
      <c r="K12" s="51"/>
    </row>
    <row r="13" spans="1:11" ht="120" customHeight="1" x14ac:dyDescent="0.25">
      <c r="A13" s="99"/>
      <c r="B13" s="121" t="s">
        <v>640</v>
      </c>
      <c r="C13" s="9" t="s">
        <v>641</v>
      </c>
      <c r="D13" s="122" t="s">
        <v>788</v>
      </c>
      <c r="E13" s="8">
        <v>220000</v>
      </c>
      <c r="F13" s="183" t="s">
        <v>787</v>
      </c>
      <c r="G13" s="9"/>
      <c r="H13" s="59"/>
      <c r="I13" s="59"/>
      <c r="J13" s="59"/>
      <c r="K13" s="59"/>
    </row>
    <row r="14" spans="1:11" ht="120" customHeight="1" x14ac:dyDescent="0.25">
      <c r="A14" s="99"/>
      <c r="B14" s="121" t="s">
        <v>640</v>
      </c>
      <c r="C14" s="9" t="s">
        <v>54</v>
      </c>
      <c r="D14" s="122" t="s">
        <v>121</v>
      </c>
      <c r="E14" s="8">
        <v>63000</v>
      </c>
      <c r="F14" s="183" t="s">
        <v>120</v>
      </c>
      <c r="G14" s="9"/>
      <c r="H14" s="59"/>
      <c r="I14" s="59"/>
      <c r="J14" s="59"/>
      <c r="K14" s="59"/>
    </row>
    <row r="15" spans="1:11" ht="120" customHeight="1" x14ac:dyDescent="0.25">
      <c r="A15" s="19"/>
      <c r="B15" s="121" t="s">
        <v>640</v>
      </c>
      <c r="C15" s="37" t="s">
        <v>785</v>
      </c>
      <c r="D15" s="123" t="s">
        <v>786</v>
      </c>
      <c r="E15" s="46"/>
      <c r="F15" s="183" t="s">
        <v>784</v>
      </c>
      <c r="G15" s="37"/>
      <c r="H15" s="59"/>
      <c r="I15" s="59"/>
      <c r="J15" s="59"/>
      <c r="K15" s="59"/>
    </row>
    <row r="16" spans="1:11" ht="120" customHeight="1" x14ac:dyDescent="0.25">
      <c r="A16" s="19"/>
      <c r="B16" s="121" t="s">
        <v>640</v>
      </c>
      <c r="C16" s="37" t="s">
        <v>377</v>
      </c>
      <c r="D16" s="240" t="s">
        <v>623</v>
      </c>
      <c r="E16" s="46" t="s">
        <v>378</v>
      </c>
      <c r="F16" s="203" t="s">
        <v>122</v>
      </c>
      <c r="G16" s="37"/>
      <c r="H16" s="59"/>
      <c r="I16" s="59"/>
      <c r="J16" s="59"/>
      <c r="K16" s="59"/>
    </row>
    <row r="17" spans="1:14" ht="120" customHeight="1" x14ac:dyDescent="0.25">
      <c r="A17" s="19"/>
      <c r="B17" s="121" t="s">
        <v>640</v>
      </c>
      <c r="C17" s="37" t="s">
        <v>399</v>
      </c>
      <c r="D17" s="240" t="s">
        <v>400</v>
      </c>
      <c r="E17" s="46">
        <v>20450</v>
      </c>
      <c r="F17" s="203" t="s">
        <v>105</v>
      </c>
      <c r="G17" s="37"/>
      <c r="H17" s="59"/>
      <c r="I17" s="59"/>
      <c r="J17" s="59"/>
      <c r="K17" s="59"/>
    </row>
    <row r="18" spans="1:14" ht="120" customHeight="1" x14ac:dyDescent="0.25">
      <c r="A18" s="19"/>
      <c r="B18" s="121" t="s">
        <v>640</v>
      </c>
      <c r="C18" s="37" t="s">
        <v>782</v>
      </c>
      <c r="D18" s="240" t="s">
        <v>783</v>
      </c>
      <c r="E18" s="46">
        <v>47537.5</v>
      </c>
      <c r="F18" s="203" t="s">
        <v>784</v>
      </c>
      <c r="G18" s="37"/>
      <c r="H18" s="59"/>
      <c r="I18" s="59"/>
      <c r="J18" s="59"/>
      <c r="K18" s="59"/>
    </row>
    <row r="19" spans="1:14" ht="120" customHeight="1" x14ac:dyDescent="0.25">
      <c r="A19" s="102"/>
      <c r="B19" s="50" t="s">
        <v>273</v>
      </c>
      <c r="C19" s="9" t="s">
        <v>59</v>
      </c>
      <c r="D19" s="277" t="s">
        <v>625</v>
      </c>
      <c r="E19" s="8">
        <v>1147700</v>
      </c>
      <c r="F19" s="203" t="s">
        <v>626</v>
      </c>
      <c r="G19" s="37"/>
      <c r="H19" s="59"/>
      <c r="I19" s="59"/>
      <c r="J19" s="59"/>
      <c r="K19" s="59"/>
    </row>
    <row r="20" spans="1:14" ht="120" customHeight="1" x14ac:dyDescent="0.25">
      <c r="A20" s="102"/>
      <c r="B20" s="50" t="s">
        <v>182</v>
      </c>
      <c r="C20" s="9" t="s">
        <v>32</v>
      </c>
      <c r="D20" s="251" t="s">
        <v>401</v>
      </c>
      <c r="E20" s="8">
        <v>12500</v>
      </c>
      <c r="F20" s="203" t="s">
        <v>102</v>
      </c>
      <c r="G20" s="37"/>
      <c r="H20" s="59"/>
      <c r="I20" s="59"/>
      <c r="J20" s="59"/>
      <c r="K20" s="59"/>
    </row>
    <row r="21" spans="1:14" ht="120" customHeight="1" x14ac:dyDescent="0.25">
      <c r="A21" s="19"/>
      <c r="B21" s="238" t="s">
        <v>87</v>
      </c>
      <c r="C21" s="239" t="s">
        <v>88</v>
      </c>
      <c r="D21" s="278" t="s">
        <v>101</v>
      </c>
      <c r="E21" s="8">
        <v>3000000</v>
      </c>
      <c r="F21" s="203" t="s">
        <v>102</v>
      </c>
      <c r="G21" s="37"/>
      <c r="H21" s="59"/>
      <c r="I21" s="59"/>
      <c r="J21" s="59"/>
      <c r="K21" s="59"/>
    </row>
    <row r="22" spans="1:14" ht="120" customHeight="1" x14ac:dyDescent="0.25">
      <c r="A22" s="19"/>
      <c r="B22" s="50" t="s">
        <v>257</v>
      </c>
      <c r="C22" s="9" t="s">
        <v>258</v>
      </c>
      <c r="D22" s="106" t="s">
        <v>498</v>
      </c>
      <c r="E22" s="8"/>
      <c r="F22" s="183" t="s">
        <v>499</v>
      </c>
      <c r="G22" s="9"/>
      <c r="H22" s="59"/>
      <c r="I22" s="59"/>
      <c r="J22" s="59"/>
      <c r="K22" s="59"/>
      <c r="N22" s="2"/>
    </row>
    <row r="23" spans="1:14" s="1" customFormat="1" ht="120" customHeight="1" x14ac:dyDescent="0.25">
      <c r="A23" s="19"/>
      <c r="B23" s="50" t="s">
        <v>41</v>
      </c>
      <c r="C23" s="9" t="s">
        <v>26</v>
      </c>
      <c r="D23" s="368" t="s">
        <v>794</v>
      </c>
      <c r="E23" s="8">
        <v>34200</v>
      </c>
      <c r="F23" s="183" t="s">
        <v>103</v>
      </c>
      <c r="G23" s="9"/>
      <c r="H23" s="58"/>
      <c r="I23" s="58"/>
      <c r="J23" s="58"/>
      <c r="K23" s="58"/>
    </row>
    <row r="24" spans="1:14" s="1" customFormat="1" ht="120" customHeight="1" x14ac:dyDescent="0.25">
      <c r="A24" s="19"/>
      <c r="B24" s="50" t="s">
        <v>789</v>
      </c>
      <c r="C24" s="195" t="s">
        <v>790</v>
      </c>
      <c r="D24" s="106" t="s">
        <v>791</v>
      </c>
      <c r="E24" s="8">
        <v>4165000</v>
      </c>
      <c r="F24" s="183" t="s">
        <v>784</v>
      </c>
      <c r="G24" s="9"/>
      <c r="H24" s="58"/>
      <c r="I24" s="58"/>
      <c r="J24" s="58"/>
      <c r="K24" s="58"/>
    </row>
    <row r="25" spans="1:14" s="1" customFormat="1" ht="120" customHeight="1" x14ac:dyDescent="0.25">
      <c r="A25" s="19"/>
      <c r="B25" s="50" t="s">
        <v>720</v>
      </c>
      <c r="C25" s="195" t="s">
        <v>721</v>
      </c>
      <c r="D25" s="338" t="s">
        <v>722</v>
      </c>
      <c r="E25" s="8"/>
      <c r="F25" s="183"/>
      <c r="G25" s="9"/>
      <c r="H25" s="58"/>
      <c r="I25" s="58"/>
      <c r="J25" s="58"/>
      <c r="K25" s="58"/>
    </row>
    <row r="26" spans="1:14" s="1" customFormat="1" ht="120" customHeight="1" x14ac:dyDescent="0.25">
      <c r="A26" s="19"/>
      <c r="B26" s="50" t="s">
        <v>282</v>
      </c>
      <c r="C26" s="195" t="s">
        <v>352</v>
      </c>
      <c r="D26" s="298" t="s">
        <v>353</v>
      </c>
      <c r="E26" s="8"/>
      <c r="F26" s="183"/>
      <c r="G26" s="183"/>
      <c r="H26" s="58"/>
      <c r="I26" s="58"/>
      <c r="J26" s="58"/>
      <c r="K26" s="58"/>
    </row>
    <row r="27" spans="1:14" s="1" customFormat="1" ht="120" customHeight="1" x14ac:dyDescent="0.25">
      <c r="A27" s="297"/>
      <c r="B27" s="50" t="s">
        <v>449</v>
      </c>
      <c r="C27" s="195" t="s">
        <v>450</v>
      </c>
      <c r="D27" s="119" t="s">
        <v>451</v>
      </c>
      <c r="E27" s="8">
        <v>667750</v>
      </c>
      <c r="F27" s="183" t="s">
        <v>103</v>
      </c>
      <c r="G27" s="183"/>
      <c r="H27" s="58"/>
      <c r="I27" s="58"/>
      <c r="J27" s="58"/>
      <c r="K27" s="58"/>
    </row>
    <row r="28" spans="1:14" ht="120" customHeight="1" x14ac:dyDescent="0.25">
      <c r="A28" s="11"/>
      <c r="B28" s="50" t="s">
        <v>648</v>
      </c>
      <c r="C28" s="195" t="s">
        <v>649</v>
      </c>
      <c r="D28" s="119" t="s">
        <v>364</v>
      </c>
      <c r="E28" s="8">
        <v>336300</v>
      </c>
      <c r="F28" s="183" t="s">
        <v>631</v>
      </c>
      <c r="G28" s="183"/>
      <c r="H28" s="59"/>
      <c r="I28" s="59"/>
      <c r="J28" s="59"/>
      <c r="K28" s="59"/>
    </row>
    <row r="29" spans="1:14" ht="120" customHeight="1" x14ac:dyDescent="0.25">
      <c r="A29" s="11"/>
      <c r="B29" s="50" t="s">
        <v>594</v>
      </c>
      <c r="C29" s="195" t="s">
        <v>595</v>
      </c>
      <c r="D29" s="106" t="s">
        <v>104</v>
      </c>
      <c r="E29" s="8">
        <v>702900</v>
      </c>
      <c r="F29" s="183" t="s">
        <v>105</v>
      </c>
      <c r="G29" s="183"/>
      <c r="H29" s="59"/>
      <c r="I29" s="59"/>
      <c r="J29" s="59"/>
      <c r="K29" s="59"/>
    </row>
    <row r="30" spans="1:14" ht="120" customHeight="1" x14ac:dyDescent="0.25">
      <c r="A30" s="11"/>
      <c r="B30" s="200" t="s">
        <v>291</v>
      </c>
      <c r="C30" s="202" t="s">
        <v>618</v>
      </c>
      <c r="D30" s="106" t="s">
        <v>7</v>
      </c>
      <c r="E30" s="204">
        <v>1200000</v>
      </c>
      <c r="F30" s="183" t="s">
        <v>106</v>
      </c>
      <c r="G30" s="182"/>
      <c r="H30" s="59"/>
      <c r="I30" s="59"/>
      <c r="J30" s="59"/>
      <c r="K30" s="59"/>
    </row>
    <row r="31" spans="1:14" ht="120" customHeight="1" x14ac:dyDescent="0.25">
      <c r="A31" s="11"/>
      <c r="B31" s="200" t="s">
        <v>291</v>
      </c>
      <c r="C31" s="202" t="s">
        <v>504</v>
      </c>
      <c r="D31" s="201" t="s">
        <v>505</v>
      </c>
      <c r="E31" s="204">
        <v>275000</v>
      </c>
      <c r="F31" s="183" t="s">
        <v>105</v>
      </c>
      <c r="G31" s="182"/>
      <c r="H31" s="59"/>
      <c r="I31" s="59"/>
      <c r="J31" s="59"/>
      <c r="K31" s="59"/>
    </row>
    <row r="32" spans="1:14" ht="120" customHeight="1" x14ac:dyDescent="0.25">
      <c r="A32" s="11"/>
      <c r="B32" s="200" t="s">
        <v>376</v>
      </c>
      <c r="C32" s="202" t="s">
        <v>583</v>
      </c>
      <c r="D32" s="201" t="s">
        <v>497</v>
      </c>
      <c r="E32" s="204">
        <v>1200000</v>
      </c>
      <c r="F32" s="183" t="s">
        <v>105</v>
      </c>
      <c r="G32" s="182"/>
      <c r="H32" s="59"/>
      <c r="I32" s="59"/>
      <c r="J32" s="59"/>
      <c r="K32" s="59"/>
    </row>
    <row r="33" spans="1:13" ht="167.45" customHeight="1" x14ac:dyDescent="0.25">
      <c r="A33" s="11"/>
      <c r="B33" s="200" t="s">
        <v>6</v>
      </c>
      <c r="C33" s="202" t="s">
        <v>379</v>
      </c>
      <c r="D33" s="332" t="s">
        <v>503</v>
      </c>
      <c r="E33" s="331">
        <v>1800000</v>
      </c>
      <c r="F33" s="183" t="s">
        <v>105</v>
      </c>
      <c r="G33" s="182"/>
      <c r="H33" s="59"/>
      <c r="I33" s="59"/>
      <c r="J33" s="59"/>
      <c r="K33" s="59"/>
    </row>
    <row r="34" spans="1:13" ht="120" customHeight="1" x14ac:dyDescent="0.25">
      <c r="A34" s="11"/>
      <c r="B34" s="200" t="s">
        <v>435</v>
      </c>
      <c r="C34" s="208" t="s">
        <v>183</v>
      </c>
      <c r="D34" s="201" t="s">
        <v>107</v>
      </c>
      <c r="E34" s="204">
        <v>2257500</v>
      </c>
      <c r="F34" s="183" t="s">
        <v>106</v>
      </c>
      <c r="G34" s="182"/>
      <c r="H34" s="59"/>
      <c r="I34" s="59"/>
      <c r="J34" s="59"/>
      <c r="K34" s="59"/>
    </row>
    <row r="35" spans="1:13" ht="120" customHeight="1" x14ac:dyDescent="0.25">
      <c r="A35" s="11"/>
      <c r="B35" s="114" t="s">
        <v>584</v>
      </c>
      <c r="C35" s="21" t="s">
        <v>108</v>
      </c>
      <c r="D35" s="258" t="s">
        <v>8</v>
      </c>
      <c r="E35" s="204">
        <v>1350000</v>
      </c>
      <c r="F35" s="183" t="s">
        <v>105</v>
      </c>
      <c r="G35" s="8"/>
      <c r="H35" s="59"/>
      <c r="I35" s="59"/>
      <c r="J35" s="59"/>
      <c r="K35" s="59"/>
    </row>
    <row r="36" spans="1:13" ht="120" customHeight="1" x14ac:dyDescent="0.25">
      <c r="A36" s="11"/>
      <c r="B36" s="114" t="s">
        <v>519</v>
      </c>
      <c r="C36" s="21" t="s">
        <v>100</v>
      </c>
      <c r="D36" s="258" t="s">
        <v>115</v>
      </c>
      <c r="E36" s="204">
        <v>372099</v>
      </c>
      <c r="F36" s="183" t="s">
        <v>106</v>
      </c>
      <c r="G36" s="8"/>
      <c r="H36" s="59"/>
      <c r="I36" s="59"/>
      <c r="J36" s="59"/>
      <c r="K36" s="59"/>
    </row>
    <row r="37" spans="1:13" ht="120" customHeight="1" x14ac:dyDescent="0.25">
      <c r="A37" s="11"/>
      <c r="B37" s="347" t="s">
        <v>740</v>
      </c>
      <c r="C37" s="112" t="s">
        <v>742</v>
      </c>
      <c r="D37" s="348" t="s">
        <v>741</v>
      </c>
      <c r="E37" s="204"/>
      <c r="F37" s="183"/>
      <c r="G37" s="8"/>
      <c r="H37" s="59"/>
      <c r="I37" s="59"/>
      <c r="J37" s="59"/>
      <c r="K37" s="59"/>
    </row>
    <row r="38" spans="1:13" ht="120" customHeight="1" x14ac:dyDescent="0.25">
      <c r="A38" s="11"/>
      <c r="B38" s="50" t="s">
        <v>493</v>
      </c>
      <c r="C38" s="37" t="s">
        <v>45</v>
      </c>
      <c r="D38" s="205" t="s">
        <v>136</v>
      </c>
      <c r="E38" s="8" t="s">
        <v>46</v>
      </c>
      <c r="F38" s="183" t="s">
        <v>145</v>
      </c>
      <c r="G38" s="8"/>
      <c r="H38" s="59"/>
      <c r="I38" s="59"/>
      <c r="J38" s="59"/>
      <c r="K38" s="59"/>
    </row>
    <row r="39" spans="1:13" ht="120" customHeight="1" x14ac:dyDescent="0.25">
      <c r="A39" s="11"/>
      <c r="B39" s="114" t="s">
        <v>361</v>
      </c>
      <c r="C39" s="21" t="s">
        <v>362</v>
      </c>
      <c r="D39" s="258" t="s">
        <v>109</v>
      </c>
      <c r="E39" s="204">
        <v>850664</v>
      </c>
      <c r="F39" s="183" t="s">
        <v>106</v>
      </c>
      <c r="G39" s="8"/>
      <c r="H39" s="59"/>
      <c r="I39" s="59"/>
      <c r="J39" s="59"/>
      <c r="K39" s="59"/>
    </row>
    <row r="40" spans="1:13" ht="120" customHeight="1" x14ac:dyDescent="0.25">
      <c r="A40" s="19"/>
      <c r="B40" s="184" t="s">
        <v>259</v>
      </c>
      <c r="C40" s="10" t="s">
        <v>260</v>
      </c>
      <c r="D40" s="207" t="s">
        <v>136</v>
      </c>
      <c r="E40" s="20">
        <v>8000000</v>
      </c>
      <c r="F40" s="183" t="s">
        <v>137</v>
      </c>
      <c r="G40" s="8"/>
      <c r="H40" s="59"/>
      <c r="I40" s="59"/>
      <c r="J40" s="59"/>
      <c r="K40" s="59"/>
    </row>
    <row r="41" spans="1:13" s="185" customFormat="1" ht="120" customHeight="1" x14ac:dyDescent="0.2">
      <c r="A41" s="19"/>
      <c r="B41" s="114" t="s">
        <v>244</v>
      </c>
      <c r="C41" s="21" t="s">
        <v>589</v>
      </c>
      <c r="D41" s="258" t="s">
        <v>110</v>
      </c>
      <c r="E41" s="204">
        <v>596500</v>
      </c>
      <c r="F41" s="183" t="s">
        <v>111</v>
      </c>
      <c r="G41" s="8"/>
      <c r="I41" s="59"/>
    </row>
    <row r="42" spans="1:13" ht="120" customHeight="1" x14ac:dyDescent="0.25">
      <c r="A42" s="19"/>
      <c r="B42" s="206" t="s">
        <v>52</v>
      </c>
      <c r="C42" s="208" t="s">
        <v>434</v>
      </c>
      <c r="D42" s="207" t="s">
        <v>585</v>
      </c>
      <c r="E42" s="20">
        <v>600000</v>
      </c>
      <c r="F42" s="183" t="s">
        <v>138</v>
      </c>
      <c r="G42" s="198"/>
      <c r="H42" s="59"/>
      <c r="I42" s="59"/>
      <c r="J42" s="59"/>
      <c r="K42" s="59"/>
    </row>
    <row r="43" spans="1:13" ht="161.44999999999999" customHeight="1" x14ac:dyDescent="0.25">
      <c r="A43" s="19"/>
      <c r="B43" s="206" t="s">
        <v>161</v>
      </c>
      <c r="C43" s="322" t="s">
        <v>5</v>
      </c>
      <c r="D43" s="207" t="s">
        <v>4</v>
      </c>
      <c r="E43" s="20">
        <v>24000000</v>
      </c>
      <c r="F43" s="183" t="s">
        <v>122</v>
      </c>
      <c r="G43" s="198"/>
      <c r="H43" s="59"/>
      <c r="I43" s="59"/>
      <c r="J43" s="59"/>
      <c r="K43" s="59"/>
    </row>
    <row r="44" spans="1:13" ht="120" customHeight="1" x14ac:dyDescent="0.25">
      <c r="A44" s="19"/>
      <c r="B44" s="206" t="s">
        <v>123</v>
      </c>
      <c r="C44" s="322" t="s">
        <v>124</v>
      </c>
      <c r="D44" s="207" t="s">
        <v>511</v>
      </c>
      <c r="E44" s="20">
        <v>2058942</v>
      </c>
      <c r="F44" s="183" t="s">
        <v>145</v>
      </c>
      <c r="G44" s="198"/>
      <c r="H44" s="59"/>
      <c r="I44" s="59"/>
      <c r="J44" s="59"/>
      <c r="K44" s="59"/>
    </row>
    <row r="45" spans="1:13" ht="120" customHeight="1" x14ac:dyDescent="0.25">
      <c r="A45" s="11"/>
      <c r="B45" s="50" t="s">
        <v>85</v>
      </c>
      <c r="C45" s="171" t="s">
        <v>84</v>
      </c>
      <c r="D45" s="252" t="s">
        <v>139</v>
      </c>
      <c r="E45" s="8" t="s">
        <v>86</v>
      </c>
      <c r="F45" s="183" t="s">
        <v>627</v>
      </c>
      <c r="G45" s="10"/>
      <c r="H45" s="59"/>
      <c r="I45" s="59"/>
      <c r="J45" s="59"/>
      <c r="K45" s="59"/>
    </row>
    <row r="46" spans="1:13" ht="120" customHeight="1" x14ac:dyDescent="0.25">
      <c r="A46" s="11"/>
      <c r="B46" s="50" t="s">
        <v>261</v>
      </c>
      <c r="C46" s="111" t="s">
        <v>512</v>
      </c>
      <c r="D46" s="11" t="s">
        <v>513</v>
      </c>
      <c r="E46" s="20"/>
      <c r="F46" s="183" t="s">
        <v>624</v>
      </c>
      <c r="G46" s="10"/>
      <c r="H46" s="59"/>
      <c r="I46" s="59"/>
      <c r="J46" s="59"/>
      <c r="K46" s="59"/>
    </row>
    <row r="47" spans="1:13" ht="120" customHeight="1" x14ac:dyDescent="0.25">
      <c r="A47" s="102"/>
      <c r="B47" s="50" t="s">
        <v>178</v>
      </c>
      <c r="C47" s="9" t="s">
        <v>189</v>
      </c>
      <c r="D47" s="106" t="s">
        <v>57</v>
      </c>
      <c r="E47" s="8">
        <v>364000</v>
      </c>
      <c r="F47" s="183" t="s">
        <v>140</v>
      </c>
      <c r="G47" s="17"/>
      <c r="H47" s="186"/>
      <c r="I47" s="59"/>
      <c r="J47" s="5"/>
      <c r="K47" s="146"/>
      <c r="L47" s="3"/>
      <c r="M47" s="3"/>
    </row>
    <row r="48" spans="1:13" ht="120" customHeight="1" x14ac:dyDescent="0.25">
      <c r="A48" s="102"/>
      <c r="B48" s="50" t="s">
        <v>509</v>
      </c>
      <c r="C48" s="116" t="s">
        <v>510</v>
      </c>
      <c r="D48" s="106" t="s">
        <v>114</v>
      </c>
      <c r="E48" s="8">
        <v>1314839</v>
      </c>
      <c r="F48" s="183" t="s">
        <v>105</v>
      </c>
      <c r="G48" s="17"/>
      <c r="H48" s="186"/>
      <c r="I48" s="59"/>
      <c r="J48" s="5"/>
      <c r="K48" s="146"/>
      <c r="L48" s="3"/>
      <c r="M48" s="3"/>
    </row>
    <row r="49" spans="1:13" ht="120" customHeight="1" x14ac:dyDescent="0.25">
      <c r="A49" s="102"/>
      <c r="B49" s="50" t="s">
        <v>460</v>
      </c>
      <c r="C49" s="116" t="s">
        <v>475</v>
      </c>
      <c r="D49" s="106" t="s">
        <v>142</v>
      </c>
      <c r="E49" s="8">
        <v>326500</v>
      </c>
      <c r="F49" s="183" t="s">
        <v>141</v>
      </c>
      <c r="G49" s="17"/>
      <c r="H49" s="186"/>
      <c r="I49" s="59"/>
      <c r="J49" s="5"/>
      <c r="K49" s="146"/>
      <c r="L49" s="3"/>
      <c r="M49" s="3"/>
    </row>
    <row r="50" spans="1:13" ht="120" customHeight="1" x14ac:dyDescent="0.25">
      <c r="A50" s="102"/>
      <c r="B50" s="121" t="s">
        <v>576</v>
      </c>
      <c r="C50" s="127" t="s">
        <v>207</v>
      </c>
      <c r="D50" s="119" t="s">
        <v>577</v>
      </c>
      <c r="E50" s="174">
        <v>2327000</v>
      </c>
      <c r="F50" s="183" t="s">
        <v>141</v>
      </c>
      <c r="G50" s="17"/>
      <c r="H50" s="186"/>
      <c r="I50" s="59"/>
      <c r="J50" s="5"/>
      <c r="K50" s="146"/>
      <c r="L50" s="3"/>
      <c r="M50" s="3"/>
    </row>
    <row r="51" spans="1:13" ht="120" customHeight="1" x14ac:dyDescent="0.25">
      <c r="A51" s="102"/>
      <c r="B51" s="256" t="s">
        <v>61</v>
      </c>
      <c r="C51" s="255" t="s">
        <v>173</v>
      </c>
      <c r="D51" s="257" t="s">
        <v>143</v>
      </c>
      <c r="E51" s="174">
        <v>210000</v>
      </c>
      <c r="F51" s="175" t="s">
        <v>106</v>
      </c>
      <c r="G51" s="254"/>
    </row>
    <row r="52" spans="1:13" s="187" customFormat="1" ht="120" customHeight="1" x14ac:dyDescent="0.2">
      <c r="A52" s="102"/>
      <c r="B52" s="121" t="s">
        <v>464</v>
      </c>
      <c r="C52" s="116" t="s">
        <v>2</v>
      </c>
      <c r="D52" s="119" t="s">
        <v>0</v>
      </c>
      <c r="E52" s="8">
        <v>193500</v>
      </c>
      <c r="F52" s="183" t="s">
        <v>145</v>
      </c>
      <c r="G52" s="199"/>
    </row>
    <row r="53" spans="1:13" s="187" customFormat="1" ht="120" customHeight="1" x14ac:dyDescent="0.2">
      <c r="A53" s="11"/>
      <c r="B53" s="121" t="s">
        <v>464</v>
      </c>
      <c r="C53" s="116" t="s">
        <v>436</v>
      </c>
      <c r="D53" s="119" t="s">
        <v>144</v>
      </c>
      <c r="E53" s="8">
        <v>1446500</v>
      </c>
      <c r="F53" s="183" t="s">
        <v>1</v>
      </c>
      <c r="G53" s="199"/>
    </row>
    <row r="54" spans="1:13" s="187" customFormat="1" ht="120" customHeight="1" x14ac:dyDescent="0.2">
      <c r="A54" s="11"/>
      <c r="B54" s="121" t="s">
        <v>464</v>
      </c>
      <c r="C54" s="116" t="s">
        <v>3</v>
      </c>
      <c r="D54" s="253" t="s">
        <v>500</v>
      </c>
      <c r="E54" s="8">
        <v>1190500</v>
      </c>
      <c r="F54" s="183" t="s">
        <v>501</v>
      </c>
      <c r="G54" s="199"/>
    </row>
    <row r="55" spans="1:13" ht="120" customHeight="1" x14ac:dyDescent="0.25">
      <c r="A55" s="11"/>
      <c r="B55" s="196" t="s">
        <v>464</v>
      </c>
      <c r="C55" s="112" t="s">
        <v>147</v>
      </c>
      <c r="D55" s="253" t="s">
        <v>109</v>
      </c>
      <c r="E55" s="8">
        <v>305000</v>
      </c>
      <c r="F55" s="183" t="s">
        <v>502</v>
      </c>
      <c r="G55" s="8"/>
      <c r="H55" s="59"/>
      <c r="I55" s="59"/>
      <c r="J55" s="59"/>
      <c r="K55" s="59"/>
    </row>
    <row r="56" spans="1:13" ht="120" customHeight="1" x14ac:dyDescent="0.25">
      <c r="A56" s="11"/>
      <c r="B56" s="196" t="s">
        <v>464</v>
      </c>
      <c r="C56" s="112" t="s">
        <v>718</v>
      </c>
      <c r="D56" s="367" t="s">
        <v>719</v>
      </c>
      <c r="E56" s="8"/>
      <c r="F56" s="183"/>
      <c r="G56" s="8"/>
      <c r="H56" s="59"/>
      <c r="I56" s="59"/>
      <c r="J56" s="59"/>
      <c r="K56" s="59"/>
    </row>
    <row r="57" spans="1:13" ht="120" customHeight="1" x14ac:dyDescent="0.25">
      <c r="A57" s="32"/>
      <c r="B57" s="33"/>
      <c r="C57" s="32"/>
      <c r="D57" s="32"/>
      <c r="E57" s="34">
        <f>SUM(E13:E54)</f>
        <v>62350881.5</v>
      </c>
      <c r="F57" s="34"/>
      <c r="G57" s="34"/>
      <c r="H57" s="59"/>
      <c r="I57" s="59"/>
      <c r="J57" s="59"/>
      <c r="K57" s="59"/>
    </row>
    <row r="58" spans="1:13" ht="120" customHeight="1" x14ac:dyDescent="0.25"/>
    <row r="59" spans="1:13" ht="120" customHeight="1" x14ac:dyDescent="0.25"/>
    <row r="60" spans="1:13" ht="120" customHeight="1" x14ac:dyDescent="0.25"/>
    <row r="61" spans="1:13" ht="120" customHeight="1" x14ac:dyDescent="0.25"/>
    <row r="62" spans="1:13" ht="120" customHeight="1" x14ac:dyDescent="0.25"/>
    <row r="63" spans="1:13" ht="120" customHeight="1" x14ac:dyDescent="0.25"/>
    <row r="64" spans="1:13" ht="120" customHeight="1" x14ac:dyDescent="0.25"/>
    <row r="65" ht="120" customHeight="1" x14ac:dyDescent="0.25"/>
    <row r="66" ht="120" customHeight="1" x14ac:dyDescent="0.25"/>
    <row r="67" ht="120" customHeight="1" x14ac:dyDescent="0.25"/>
    <row r="68" ht="120" customHeight="1" x14ac:dyDescent="0.25"/>
    <row r="69" ht="120" customHeight="1" x14ac:dyDescent="0.25"/>
    <row r="70" ht="120" customHeight="1" x14ac:dyDescent="0.25"/>
    <row r="71" ht="120" customHeight="1" x14ac:dyDescent="0.25"/>
    <row r="72" ht="120" customHeight="1" x14ac:dyDescent="0.25"/>
    <row r="73" ht="120" customHeight="1" x14ac:dyDescent="0.25"/>
    <row r="74" ht="120" customHeight="1" x14ac:dyDescent="0.25"/>
    <row r="75" ht="120" customHeight="1" x14ac:dyDescent="0.25"/>
    <row r="76" ht="120" customHeight="1" x14ac:dyDescent="0.25"/>
    <row r="77" ht="120" customHeight="1" x14ac:dyDescent="0.25"/>
    <row r="78" ht="120" customHeight="1" x14ac:dyDescent="0.25"/>
    <row r="79" ht="120" customHeight="1" x14ac:dyDescent="0.25"/>
    <row r="80" ht="120" customHeight="1" x14ac:dyDescent="0.25"/>
    <row r="81" ht="99.95" customHeight="1" x14ac:dyDescent="0.25"/>
    <row r="82" ht="99.95" customHeight="1" x14ac:dyDescent="0.25"/>
    <row r="83" ht="99.95" customHeight="1" x14ac:dyDescent="0.25"/>
    <row r="84" ht="99.95" customHeight="1" x14ac:dyDescent="0.25"/>
    <row r="85" ht="99.95" customHeight="1" x14ac:dyDescent="0.25"/>
    <row r="86" ht="99.95" customHeight="1" x14ac:dyDescent="0.25"/>
    <row r="87" ht="99.95" customHeight="1" x14ac:dyDescent="0.25"/>
    <row r="88" ht="99.95" customHeight="1" x14ac:dyDescent="0.25"/>
    <row r="89" ht="99.95" customHeight="1" x14ac:dyDescent="0.25"/>
    <row r="90" ht="99.95" customHeight="1" x14ac:dyDescent="0.25"/>
    <row r="91" ht="99.95" customHeight="1" x14ac:dyDescent="0.25"/>
    <row r="92" ht="99.95" customHeight="1" x14ac:dyDescent="0.25"/>
    <row r="93" ht="99.95" customHeight="1" x14ac:dyDescent="0.25"/>
    <row r="94" ht="99.95" customHeight="1" x14ac:dyDescent="0.25"/>
    <row r="95" ht="99.95" customHeight="1" x14ac:dyDescent="0.25"/>
    <row r="96" ht="99.95" customHeight="1" x14ac:dyDescent="0.25"/>
    <row r="97" ht="99.95" customHeight="1" x14ac:dyDescent="0.25"/>
    <row r="98" ht="99.95" customHeight="1" x14ac:dyDescent="0.25"/>
    <row r="99" ht="99.95" customHeight="1" x14ac:dyDescent="0.25"/>
    <row r="100" ht="99.95" customHeight="1" x14ac:dyDescent="0.25"/>
    <row r="101" ht="99.95" customHeight="1" x14ac:dyDescent="0.25"/>
    <row r="102" ht="99.95" customHeight="1" x14ac:dyDescent="0.25"/>
    <row r="103" ht="99.95" customHeight="1" x14ac:dyDescent="0.25"/>
    <row r="104" ht="99.95" customHeight="1" x14ac:dyDescent="0.25"/>
    <row r="105" ht="99.95" customHeight="1" x14ac:dyDescent="0.25"/>
    <row r="106" ht="99.95" customHeight="1" x14ac:dyDescent="0.25"/>
    <row r="107" ht="99.95" customHeight="1" x14ac:dyDescent="0.25"/>
    <row r="108" ht="99.95" customHeight="1" x14ac:dyDescent="0.25"/>
    <row r="109" ht="99.95" customHeight="1" x14ac:dyDescent="0.25"/>
    <row r="110" ht="99.95" customHeight="1" x14ac:dyDescent="0.25"/>
    <row r="111" ht="99.95" customHeight="1" x14ac:dyDescent="0.25"/>
    <row r="112" ht="99.95" customHeight="1" x14ac:dyDescent="0.25"/>
    <row r="113" ht="99.95" customHeight="1" x14ac:dyDescent="0.25"/>
    <row r="114" ht="99.95" customHeight="1" x14ac:dyDescent="0.25"/>
    <row r="115" ht="99.95" customHeight="1" x14ac:dyDescent="0.25"/>
    <row r="116" ht="99.95" customHeight="1" x14ac:dyDescent="0.25"/>
    <row r="117" ht="99.95" customHeight="1" x14ac:dyDescent="0.25"/>
    <row r="118" ht="99.95" customHeight="1" x14ac:dyDescent="0.25"/>
    <row r="119" ht="99.95" customHeight="1" x14ac:dyDescent="0.25"/>
    <row r="120" ht="99.95" customHeight="1" x14ac:dyDescent="0.25"/>
    <row r="121" ht="99.95" customHeight="1" x14ac:dyDescent="0.25"/>
    <row r="122" ht="99.95" customHeight="1" x14ac:dyDescent="0.25"/>
    <row r="123" ht="99.95" customHeight="1" x14ac:dyDescent="0.25"/>
    <row r="124" ht="99.95" customHeight="1" x14ac:dyDescent="0.25"/>
    <row r="125" ht="99.95" customHeight="1" x14ac:dyDescent="0.25"/>
    <row r="126" ht="99.95" customHeight="1" x14ac:dyDescent="0.25"/>
    <row r="127" ht="99.95" customHeight="1" x14ac:dyDescent="0.25"/>
    <row r="128" ht="99.95" customHeight="1" x14ac:dyDescent="0.25"/>
    <row r="129" ht="99.95" customHeight="1" x14ac:dyDescent="0.25"/>
    <row r="130" ht="99.95" customHeight="1" x14ac:dyDescent="0.25"/>
    <row r="131" ht="99.95" customHeight="1" x14ac:dyDescent="0.25"/>
    <row r="132" ht="99.95" customHeight="1" x14ac:dyDescent="0.25"/>
    <row r="133" ht="99.95" customHeight="1" x14ac:dyDescent="0.25"/>
    <row r="134" ht="99.95" customHeight="1" x14ac:dyDescent="0.25"/>
    <row r="135" ht="99.95" customHeight="1" x14ac:dyDescent="0.25"/>
    <row r="136" ht="99.95" customHeight="1" x14ac:dyDescent="0.25"/>
    <row r="137" ht="99.95" customHeight="1" x14ac:dyDescent="0.25"/>
    <row r="138" ht="99.95" customHeight="1" x14ac:dyDescent="0.25"/>
    <row r="139" ht="99.95" customHeight="1" x14ac:dyDescent="0.25"/>
    <row r="140" ht="99.95" customHeight="1" x14ac:dyDescent="0.25"/>
    <row r="141" ht="99.95" customHeight="1" x14ac:dyDescent="0.25"/>
    <row r="142" ht="99.95" customHeight="1" x14ac:dyDescent="0.25"/>
    <row r="143" ht="99.95" customHeight="1" x14ac:dyDescent="0.25"/>
    <row r="144" ht="99.95" customHeight="1" x14ac:dyDescent="0.25"/>
    <row r="145" spans="1:13" ht="99.95" customHeight="1" x14ac:dyDescent="0.25"/>
    <row r="146" spans="1:13" ht="99.95" customHeight="1" x14ac:dyDescent="0.25">
      <c r="A146" s="53"/>
      <c r="B146" s="57"/>
      <c r="C146" s="53"/>
      <c r="D146" s="53"/>
      <c r="F146" s="54"/>
      <c r="G146" s="53"/>
      <c r="H146" s="55"/>
      <c r="I146" s="52"/>
      <c r="J146" s="53"/>
      <c r="K146" s="56"/>
      <c r="L146" s="3"/>
      <c r="M146" s="3"/>
    </row>
    <row r="147" spans="1:13" ht="99.95" customHeight="1" x14ac:dyDescent="0.25">
      <c r="A147" s="53"/>
      <c r="B147" s="57"/>
      <c r="C147" s="53"/>
      <c r="D147" s="53"/>
      <c r="F147" s="54"/>
      <c r="G147" s="54"/>
      <c r="H147" s="52"/>
      <c r="I147" s="52"/>
      <c r="J147" s="52"/>
      <c r="K147" s="52"/>
    </row>
    <row r="148" spans="1:13" ht="99.95" customHeight="1" x14ac:dyDescent="0.25">
      <c r="A148" s="53"/>
      <c r="B148" s="57"/>
      <c r="C148" s="53"/>
      <c r="D148" s="53"/>
      <c r="F148" s="54"/>
      <c r="G148" s="54"/>
      <c r="H148" s="52"/>
      <c r="I148" s="52"/>
      <c r="J148" s="52"/>
      <c r="K148" s="52"/>
    </row>
    <row r="149" spans="1:13" ht="99.95" customHeight="1" x14ac:dyDescent="0.25"/>
    <row r="150" spans="1:13" ht="99.95" customHeight="1" x14ac:dyDescent="0.25"/>
    <row r="151" spans="1:13" ht="99.95" customHeight="1" x14ac:dyDescent="0.25"/>
    <row r="152" spans="1:13" ht="99.95" customHeight="1" x14ac:dyDescent="0.25"/>
    <row r="153" spans="1:13" ht="99.95" customHeight="1" x14ac:dyDescent="0.25"/>
    <row r="154" spans="1:13" ht="99.95" customHeight="1" x14ac:dyDescent="0.25"/>
    <row r="155" spans="1:13" ht="99.95" customHeight="1" x14ac:dyDescent="0.25"/>
    <row r="156" spans="1:13" ht="99.95" customHeight="1" x14ac:dyDescent="0.25"/>
    <row r="157" spans="1:13" ht="99.95" customHeight="1" x14ac:dyDescent="0.25"/>
    <row r="158" spans="1:13" ht="99.95" customHeight="1" x14ac:dyDescent="0.25"/>
    <row r="159" spans="1:13" ht="99.95" customHeight="1" x14ac:dyDescent="0.25"/>
    <row r="160" spans="1:13" ht="99.95" customHeight="1" x14ac:dyDescent="0.25"/>
    <row r="161" ht="99.95" customHeight="1" x14ac:dyDescent="0.25"/>
    <row r="162" ht="99.95" customHeight="1" x14ac:dyDescent="0.25"/>
    <row r="163" ht="99.95" customHeight="1" x14ac:dyDescent="0.25"/>
    <row r="164" ht="99.95" customHeight="1" x14ac:dyDescent="0.25"/>
    <row r="165" ht="99.95" customHeight="1" x14ac:dyDescent="0.25"/>
    <row r="166" ht="99.95" customHeight="1" x14ac:dyDescent="0.25"/>
    <row r="167" ht="99.95" customHeight="1" x14ac:dyDescent="0.25"/>
    <row r="168" ht="99.95" customHeight="1" x14ac:dyDescent="0.25"/>
    <row r="169" ht="99.95" customHeight="1" x14ac:dyDescent="0.25"/>
    <row r="170" ht="99.95" customHeight="1" x14ac:dyDescent="0.25"/>
    <row r="171" ht="99.95" customHeight="1" x14ac:dyDescent="0.25"/>
    <row r="172" ht="99.95" customHeight="1" x14ac:dyDescent="0.25"/>
    <row r="173" ht="99.95" customHeight="1" x14ac:dyDescent="0.25"/>
    <row r="174" ht="99.95" customHeight="1" x14ac:dyDescent="0.25"/>
    <row r="175" ht="99.95" customHeight="1" x14ac:dyDescent="0.25"/>
    <row r="176" ht="99.95" customHeight="1" x14ac:dyDescent="0.25"/>
    <row r="177" ht="99.95" customHeight="1" x14ac:dyDescent="0.25"/>
    <row r="178" ht="99.95" customHeight="1" x14ac:dyDescent="0.25"/>
    <row r="179" ht="99.95" customHeight="1" x14ac:dyDescent="0.25"/>
    <row r="180" ht="99.95" customHeight="1" x14ac:dyDescent="0.25"/>
    <row r="181" ht="99.95" customHeight="1" x14ac:dyDescent="0.25"/>
    <row r="182" ht="99.95" customHeight="1" x14ac:dyDescent="0.25"/>
  </sheetData>
  <phoneticPr fontId="0" type="noConversion"/>
  <pageMargins left="0.70866141732283472" right="0.70866141732283472" top="0.74803149606299213" bottom="0.74803149606299213" header="0.31496062992125984" footer="0.31496062992125984"/>
  <pageSetup paperSize="9" scale="43" fitToHeight="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
  <sheetViews>
    <sheetView workbookViewId="0">
      <selection activeCell="B7" sqref="B7"/>
    </sheetView>
  </sheetViews>
  <sheetFormatPr defaultRowHeight="15" x14ac:dyDescent="0.25"/>
  <cols>
    <col min="2" max="8" width="25.7109375" customWidth="1"/>
    <col min="10" max="10" width="44.5703125" customWidth="1"/>
    <col min="12" max="12" width="20.85546875" customWidth="1"/>
  </cols>
  <sheetData>
    <row r="1" spans="1:16" x14ac:dyDescent="0.25">
      <c r="A1" s="194" t="s">
        <v>331</v>
      </c>
    </row>
    <row r="2" spans="1:16" x14ac:dyDescent="0.25">
      <c r="A2" s="100"/>
      <c r="B2" s="100"/>
      <c r="D2" s="100"/>
      <c r="E2" s="100"/>
      <c r="F2" s="100"/>
      <c r="G2" s="100"/>
      <c r="H2" s="100"/>
      <c r="J2" s="126"/>
    </row>
    <row r="3" spans="1:16" x14ac:dyDescent="0.25">
      <c r="A3" s="265" t="s">
        <v>272</v>
      </c>
      <c r="B3" s="266" t="s">
        <v>596</v>
      </c>
      <c r="C3" s="267" t="s">
        <v>597</v>
      </c>
      <c r="D3" s="266" t="s">
        <v>598</v>
      </c>
      <c r="E3" s="266" t="s">
        <v>599</v>
      </c>
      <c r="F3" s="266" t="s">
        <v>600</v>
      </c>
      <c r="G3" s="267" t="s">
        <v>601</v>
      </c>
      <c r="H3" s="320" t="s">
        <v>602</v>
      </c>
      <c r="I3" s="126"/>
      <c r="J3" s="295"/>
    </row>
    <row r="4" spans="1:16" x14ac:dyDescent="0.25">
      <c r="A4" s="269" t="s">
        <v>477</v>
      </c>
      <c r="B4" s="274"/>
      <c r="C4" s="98"/>
      <c r="D4" s="312"/>
      <c r="E4" s="98"/>
      <c r="F4" s="312"/>
      <c r="G4" s="294"/>
      <c r="H4" s="98"/>
      <c r="I4" s="296"/>
      <c r="J4" s="296"/>
    </row>
    <row r="5" spans="1:16" ht="78.75" x14ac:dyDescent="0.25">
      <c r="A5" s="269" t="s">
        <v>478</v>
      </c>
      <c r="B5" s="323" t="s">
        <v>332</v>
      </c>
      <c r="C5" s="324" t="s">
        <v>333</v>
      </c>
      <c r="D5" s="325" t="s">
        <v>334</v>
      </c>
      <c r="E5" s="276" t="s">
        <v>335</v>
      </c>
      <c r="F5" s="98"/>
      <c r="G5" s="294"/>
      <c r="H5" s="98"/>
      <c r="I5" s="296"/>
      <c r="J5" s="211"/>
      <c r="O5" s="126"/>
      <c r="P5" s="126"/>
    </row>
    <row r="6" spans="1:16" x14ac:dyDescent="0.25">
      <c r="A6" s="269" t="s">
        <v>479</v>
      </c>
      <c r="B6" s="274"/>
      <c r="C6" s="98"/>
      <c r="D6" s="313"/>
      <c r="E6" s="98"/>
      <c r="F6" s="98"/>
      <c r="G6" s="294"/>
      <c r="H6" s="98"/>
      <c r="I6" s="296"/>
      <c r="J6" s="296" t="s">
        <v>336</v>
      </c>
      <c r="O6" s="126"/>
      <c r="P6" s="126"/>
    </row>
    <row r="7" spans="1:16" ht="56.25" x14ac:dyDescent="0.25">
      <c r="A7" s="269" t="s">
        <v>480</v>
      </c>
      <c r="B7" s="274"/>
      <c r="C7" s="326" t="s">
        <v>337</v>
      </c>
      <c r="D7" s="313"/>
      <c r="E7" s="276" t="s">
        <v>338</v>
      </c>
      <c r="F7" s="98"/>
      <c r="G7" s="294"/>
      <c r="H7" s="98"/>
      <c r="I7" s="296"/>
      <c r="J7" s="296" t="s">
        <v>339</v>
      </c>
      <c r="O7" s="126"/>
      <c r="P7" s="126"/>
    </row>
    <row r="8" spans="1:16" x14ac:dyDescent="0.25">
      <c r="A8" s="269" t="s">
        <v>481</v>
      </c>
      <c r="B8" s="274"/>
      <c r="C8" s="98"/>
      <c r="D8" s="313"/>
      <c r="E8" s="98"/>
      <c r="F8" s="98"/>
      <c r="G8" s="294"/>
      <c r="H8" s="98"/>
      <c r="I8" s="296"/>
      <c r="J8" s="327" t="s">
        <v>340</v>
      </c>
      <c r="O8" s="126"/>
      <c r="P8" s="126"/>
    </row>
    <row r="9" spans="1:16" ht="45" x14ac:dyDescent="0.25">
      <c r="A9" s="269" t="s">
        <v>482</v>
      </c>
      <c r="B9" s="274"/>
      <c r="C9" s="326" t="s">
        <v>506</v>
      </c>
      <c r="D9" s="313"/>
      <c r="E9" s="98"/>
      <c r="F9" s="92"/>
      <c r="G9" s="294"/>
      <c r="H9" s="98"/>
      <c r="I9" s="296"/>
      <c r="J9" s="328" t="s">
        <v>507</v>
      </c>
      <c r="O9" s="126"/>
      <c r="P9" s="126"/>
    </row>
    <row r="10" spans="1:16" x14ac:dyDescent="0.25">
      <c r="A10" s="269" t="s">
        <v>483</v>
      </c>
      <c r="B10" s="274"/>
      <c r="C10" s="98"/>
      <c r="D10" s="313"/>
      <c r="E10" s="98"/>
      <c r="F10" s="98"/>
      <c r="G10" s="294"/>
      <c r="H10" s="98"/>
      <c r="I10" s="296"/>
      <c r="J10" s="296"/>
      <c r="O10" s="126"/>
      <c r="P10" s="126"/>
    </row>
    <row r="11" spans="1:16" ht="56.25" x14ac:dyDescent="0.25">
      <c r="A11" s="269" t="s">
        <v>484</v>
      </c>
      <c r="B11" s="274"/>
      <c r="C11" s="326" t="s">
        <v>508</v>
      </c>
      <c r="D11" s="313"/>
      <c r="E11" s="98"/>
      <c r="F11" s="98"/>
      <c r="G11" s="294"/>
      <c r="H11" s="98"/>
      <c r="I11" s="296"/>
      <c r="J11" s="296"/>
      <c r="O11" s="126"/>
      <c r="P11" s="126"/>
    </row>
    <row r="12" spans="1:16" x14ac:dyDescent="0.25">
      <c r="A12" s="269" t="s">
        <v>485</v>
      </c>
      <c r="B12" s="274"/>
      <c r="C12" s="98"/>
      <c r="D12" s="313"/>
      <c r="E12" s="98"/>
      <c r="F12" s="98"/>
      <c r="G12" s="294"/>
      <c r="H12" s="98"/>
      <c r="J12" s="126"/>
      <c r="O12" s="126"/>
      <c r="P12" s="126"/>
    </row>
    <row r="13" spans="1:16" x14ac:dyDescent="0.25">
      <c r="A13" s="269" t="s">
        <v>486</v>
      </c>
      <c r="B13" s="274"/>
      <c r="C13" s="98"/>
      <c r="D13" s="313"/>
      <c r="E13" s="98"/>
      <c r="F13" s="98"/>
      <c r="G13" s="294"/>
      <c r="H13" s="98"/>
      <c r="J13" s="126"/>
      <c r="O13" s="126"/>
      <c r="P13" s="126"/>
    </row>
    <row r="14" spans="1:16" x14ac:dyDescent="0.25">
      <c r="A14" s="270"/>
      <c r="B14" s="275"/>
      <c r="C14" s="275"/>
      <c r="D14" s="275"/>
      <c r="E14" s="275"/>
      <c r="F14" s="275"/>
      <c r="G14" s="319"/>
      <c r="H14" s="321"/>
      <c r="J14" s="126"/>
      <c r="O14" s="126"/>
      <c r="P14" s="126"/>
    </row>
    <row r="15" spans="1:16" x14ac:dyDescent="0.25">
      <c r="A15" s="265" t="s">
        <v>272</v>
      </c>
      <c r="B15" s="266" t="s">
        <v>603</v>
      </c>
      <c r="C15" s="267" t="s">
        <v>604</v>
      </c>
      <c r="D15" s="266" t="s">
        <v>605</v>
      </c>
      <c r="E15" s="266" t="s">
        <v>606</v>
      </c>
      <c r="F15" s="266" t="s">
        <v>607</v>
      </c>
      <c r="G15" s="266" t="s">
        <v>608</v>
      </c>
      <c r="H15" s="268" t="s">
        <v>609</v>
      </c>
      <c r="J15" s="126"/>
      <c r="O15" s="126"/>
      <c r="P15" s="126"/>
    </row>
    <row r="16" spans="1:16" x14ac:dyDescent="0.25">
      <c r="A16" s="269" t="s">
        <v>477</v>
      </c>
      <c r="B16" s="312"/>
      <c r="C16" s="98"/>
      <c r="D16" s="98"/>
      <c r="E16" s="215" t="s">
        <v>53</v>
      </c>
      <c r="F16" s="215" t="s">
        <v>53</v>
      </c>
      <c r="G16" s="98"/>
      <c r="H16" s="98"/>
      <c r="J16" s="126"/>
      <c r="O16" s="126"/>
      <c r="P16" s="126"/>
    </row>
    <row r="17" spans="1:16" ht="45" x14ac:dyDescent="0.25">
      <c r="A17" s="269" t="s">
        <v>478</v>
      </c>
      <c r="B17" s="329" t="s">
        <v>590</v>
      </c>
      <c r="C17" s="294"/>
      <c r="D17" s="98"/>
      <c r="E17" s="330" t="s">
        <v>617</v>
      </c>
      <c r="F17" s="98"/>
      <c r="G17" s="98"/>
      <c r="H17" s="98"/>
      <c r="J17" s="126"/>
      <c r="O17" s="126"/>
      <c r="P17" s="126"/>
    </row>
    <row r="18" spans="1:16" x14ac:dyDescent="0.25">
      <c r="A18" s="269" t="s">
        <v>479</v>
      </c>
      <c r="B18" s="98"/>
      <c r="C18" s="87"/>
      <c r="D18" s="87"/>
      <c r="E18" s="98"/>
      <c r="F18" s="98"/>
      <c r="G18" s="98"/>
      <c r="H18" s="98"/>
      <c r="J18" s="126"/>
      <c r="O18" s="126"/>
      <c r="P18" s="126"/>
    </row>
    <row r="19" spans="1:16" ht="22.5" x14ac:dyDescent="0.25">
      <c r="A19" s="269" t="s">
        <v>480</v>
      </c>
      <c r="B19" s="98"/>
      <c r="C19" s="87"/>
      <c r="D19" s="98"/>
      <c r="E19" s="330" t="s">
        <v>621</v>
      </c>
      <c r="F19" s="98"/>
      <c r="G19" s="98"/>
      <c r="H19" s="98"/>
      <c r="O19" s="126"/>
      <c r="P19" s="126"/>
    </row>
    <row r="20" spans="1:16" x14ac:dyDescent="0.25">
      <c r="A20" s="269" t="s">
        <v>481</v>
      </c>
      <c r="B20" s="98"/>
      <c r="C20" s="294"/>
      <c r="D20" s="98"/>
      <c r="E20" s="98"/>
      <c r="F20" s="98"/>
      <c r="G20" s="98"/>
      <c r="H20" s="98"/>
      <c r="J20" s="126"/>
      <c r="O20" s="126"/>
      <c r="P20" s="126"/>
    </row>
    <row r="21" spans="1:16" x14ac:dyDescent="0.25">
      <c r="A21" s="269" t="s">
        <v>482</v>
      </c>
      <c r="B21" s="98"/>
      <c r="C21" s="1"/>
      <c r="D21" s="98"/>
      <c r="E21" s="98"/>
      <c r="F21" s="98"/>
      <c r="G21" s="98"/>
      <c r="H21" s="98"/>
      <c r="J21" s="126"/>
      <c r="O21" s="126"/>
      <c r="P21" s="126"/>
    </row>
    <row r="22" spans="1:16" x14ac:dyDescent="0.25">
      <c r="A22" s="269" t="s">
        <v>483</v>
      </c>
      <c r="B22" s="98"/>
      <c r="C22" s="98"/>
      <c r="D22" s="314"/>
      <c r="E22" s="98"/>
      <c r="F22" s="98"/>
      <c r="G22" s="98"/>
      <c r="H22" s="98"/>
      <c r="J22" s="126"/>
      <c r="O22" s="126"/>
      <c r="P22" s="126"/>
    </row>
    <row r="23" spans="1:16" x14ac:dyDescent="0.25">
      <c r="A23" s="269" t="s">
        <v>484</v>
      </c>
      <c r="B23" s="98"/>
      <c r="C23" s="98"/>
      <c r="D23" s="98"/>
      <c r="E23" s="98"/>
      <c r="F23" s="98"/>
      <c r="G23" s="98"/>
      <c r="H23" s="98"/>
      <c r="J23" s="126"/>
      <c r="O23" s="126"/>
      <c r="P23" s="126"/>
    </row>
    <row r="24" spans="1:16" x14ac:dyDescent="0.25">
      <c r="A24" s="269" t="s">
        <v>485</v>
      </c>
      <c r="B24" s="98"/>
      <c r="C24" s="294"/>
      <c r="D24" s="98"/>
      <c r="E24" s="98"/>
      <c r="F24" s="98"/>
      <c r="G24" s="98"/>
      <c r="H24" s="98"/>
      <c r="J24" s="126"/>
      <c r="O24" s="126"/>
      <c r="P24" s="126"/>
    </row>
    <row r="25" spans="1:16" ht="15.75" thickBot="1" x14ac:dyDescent="0.3">
      <c r="A25" s="271" t="s">
        <v>486</v>
      </c>
      <c r="B25" s="101"/>
      <c r="C25" s="315"/>
      <c r="D25" s="101"/>
      <c r="E25" s="101"/>
      <c r="F25" s="101"/>
      <c r="G25" s="101"/>
      <c r="H25" s="101"/>
      <c r="J25" s="126"/>
      <c r="O25" s="126"/>
      <c r="P25" s="126"/>
    </row>
    <row r="26" spans="1:16" x14ac:dyDescent="0.25">
      <c r="A26" s="272"/>
      <c r="B26" s="98"/>
      <c r="C26" s="98"/>
      <c r="D26" s="316"/>
      <c r="E26" s="316"/>
      <c r="F26" s="98"/>
      <c r="G26" s="316"/>
      <c r="H26" s="98"/>
      <c r="J26" s="126"/>
      <c r="O26" s="126"/>
      <c r="P26" s="126"/>
    </row>
    <row r="27" spans="1:16" x14ac:dyDescent="0.25">
      <c r="A27" s="265" t="s">
        <v>272</v>
      </c>
      <c r="B27" s="266" t="s">
        <v>610</v>
      </c>
      <c r="C27" s="267" t="s">
        <v>611</v>
      </c>
      <c r="D27" s="266" t="s">
        <v>612</v>
      </c>
      <c r="E27" s="266" t="s">
        <v>613</v>
      </c>
      <c r="F27" s="266" t="s">
        <v>614</v>
      </c>
      <c r="G27" s="266" t="s">
        <v>615</v>
      </c>
      <c r="H27" s="268" t="s">
        <v>616</v>
      </c>
      <c r="J27" s="126"/>
      <c r="O27" s="126"/>
      <c r="P27" s="126"/>
    </row>
    <row r="28" spans="1:16" x14ac:dyDescent="0.25">
      <c r="A28" s="269" t="s">
        <v>477</v>
      </c>
      <c r="B28" s="314"/>
      <c r="C28" s="98"/>
      <c r="D28" s="317"/>
      <c r="E28" s="98"/>
      <c r="F28" s="98"/>
      <c r="G28" s="98" t="s">
        <v>664</v>
      </c>
      <c r="H28" s="98"/>
      <c r="J28" s="126"/>
      <c r="O28" s="126"/>
      <c r="P28" s="126"/>
    </row>
    <row r="29" spans="1:16" x14ac:dyDescent="0.25">
      <c r="A29" s="269" t="s">
        <v>478</v>
      </c>
      <c r="B29" s="98"/>
      <c r="C29" s="294"/>
      <c r="D29" s="98"/>
      <c r="E29" s="144"/>
      <c r="F29" s="98"/>
      <c r="G29" s="98"/>
      <c r="H29" s="98"/>
      <c r="J29" s="299"/>
      <c r="O29" s="126"/>
      <c r="P29" s="126"/>
    </row>
    <row r="30" spans="1:16" x14ac:dyDescent="0.25">
      <c r="A30" s="269" t="s">
        <v>479</v>
      </c>
      <c r="B30" s="98"/>
      <c r="C30" s="87"/>
      <c r="D30" s="318"/>
      <c r="E30" s="98"/>
      <c r="F30" s="98"/>
      <c r="G30" s="98"/>
      <c r="H30" s="98"/>
      <c r="J30" s="126"/>
      <c r="O30" s="126"/>
      <c r="P30" s="126"/>
    </row>
    <row r="31" spans="1:16" x14ac:dyDescent="0.25">
      <c r="A31" s="269" t="s">
        <v>480</v>
      </c>
      <c r="B31" s="1"/>
      <c r="C31" s="87"/>
      <c r="D31" s="317"/>
      <c r="E31" s="98"/>
      <c r="F31" s="98"/>
      <c r="G31" s="98"/>
      <c r="H31" s="98"/>
      <c r="J31" s="126"/>
      <c r="O31" s="126"/>
      <c r="P31" s="126"/>
    </row>
    <row r="32" spans="1:16" x14ac:dyDescent="0.25">
      <c r="A32" s="269" t="s">
        <v>481</v>
      </c>
      <c r="B32" s="98"/>
      <c r="C32" s="294"/>
      <c r="D32" s="98"/>
      <c r="E32" s="1"/>
      <c r="F32" s="98"/>
      <c r="G32" s="98"/>
      <c r="H32" s="98"/>
    </row>
    <row r="33" spans="1:8" x14ac:dyDescent="0.25">
      <c r="A33" s="269" t="s">
        <v>482</v>
      </c>
      <c r="B33" s="98"/>
      <c r="C33" s="98"/>
      <c r="D33" s="317"/>
      <c r="E33" s="98"/>
      <c r="F33" s="98"/>
      <c r="G33" s="98"/>
      <c r="H33" s="98"/>
    </row>
    <row r="34" spans="1:8" x14ac:dyDescent="0.25">
      <c r="A34" s="269" t="s">
        <v>483</v>
      </c>
      <c r="B34" s="98"/>
      <c r="C34" s="98"/>
      <c r="D34" s="314"/>
      <c r="E34" s="98"/>
      <c r="F34" s="98"/>
      <c r="G34" s="98"/>
      <c r="H34" s="98"/>
    </row>
    <row r="35" spans="1:8" x14ac:dyDescent="0.25">
      <c r="A35" s="269" t="s">
        <v>484</v>
      </c>
      <c r="B35" s="98"/>
      <c r="C35" s="98"/>
      <c r="D35" s="317"/>
      <c r="E35" s="98"/>
      <c r="F35" s="92"/>
      <c r="G35" s="98"/>
      <c r="H35" s="98"/>
    </row>
    <row r="36" spans="1:8" x14ac:dyDescent="0.25">
      <c r="A36" s="269" t="s">
        <v>485</v>
      </c>
      <c r="B36" s="98"/>
      <c r="C36" s="294"/>
      <c r="D36" s="98"/>
      <c r="E36" s="98"/>
      <c r="F36" s="98"/>
      <c r="G36" s="98"/>
      <c r="H36" s="98"/>
    </row>
    <row r="37" spans="1:8" ht="15.75" thickBot="1" x14ac:dyDescent="0.3">
      <c r="A37" s="271" t="s">
        <v>486</v>
      </c>
      <c r="B37" s="101"/>
      <c r="C37" s="315"/>
      <c r="D37" s="101"/>
      <c r="E37" s="101"/>
      <c r="F37" s="101"/>
      <c r="G37" s="101"/>
      <c r="H37" s="101"/>
    </row>
    <row r="40" spans="1:8" x14ac:dyDescent="0.25">
      <c r="E40" s="296"/>
    </row>
  </sheetData>
  <phoneticPr fontId="29" type="noConversion"/>
  <pageMargins left="0.70866141732283472" right="0.70866141732283472" top="0.74803149606299213" bottom="0.74803149606299213" header="0.31496062992125984" footer="0.31496062992125984"/>
  <pageSetup paperSize="9" scale="7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32"/>
  <sheetViews>
    <sheetView tabSelected="1" workbookViewId="0">
      <selection activeCell="C3" sqref="C3"/>
    </sheetView>
  </sheetViews>
  <sheetFormatPr defaultRowHeight="15" x14ac:dyDescent="0.25"/>
  <cols>
    <col min="1" max="1" width="10" bestFit="1" customWidth="1"/>
    <col min="2" max="2" width="24.28515625" customWidth="1"/>
    <col min="3" max="3" width="32.42578125" customWidth="1"/>
    <col min="4" max="4" width="35" customWidth="1"/>
    <col min="5" max="6" width="20" customWidth="1"/>
    <col min="7" max="7" width="23" customWidth="1"/>
  </cols>
  <sheetData>
    <row r="1" spans="1:11" ht="22.5" x14ac:dyDescent="0.25">
      <c r="B1" s="88" t="s">
        <v>270</v>
      </c>
      <c r="C1" s="301">
        <v>41430</v>
      </c>
      <c r="D1" s="4"/>
      <c r="E1" s="38"/>
      <c r="F1" s="38"/>
      <c r="G1" s="12"/>
    </row>
    <row r="2" spans="1:11" x14ac:dyDescent="0.25">
      <c r="A2" s="22">
        <v>1</v>
      </c>
      <c r="B2" s="60" t="s">
        <v>314</v>
      </c>
      <c r="C2" s="22"/>
      <c r="E2" s="38"/>
      <c r="F2" s="38"/>
      <c r="G2" s="44"/>
    </row>
    <row r="3" spans="1:11" ht="25.5" x14ac:dyDescent="0.25">
      <c r="A3" s="22">
        <v>2</v>
      </c>
      <c r="B3" s="129" t="s">
        <v>316</v>
      </c>
      <c r="C3" s="22"/>
      <c r="E3" s="43"/>
      <c r="F3" s="43"/>
      <c r="G3" s="44"/>
    </row>
    <row r="4" spans="1:11" x14ac:dyDescent="0.25">
      <c r="A4" s="29">
        <v>3</v>
      </c>
      <c r="B4" s="61" t="s">
        <v>315</v>
      </c>
      <c r="C4" s="29"/>
      <c r="E4" s="40"/>
      <c r="F4" s="40"/>
      <c r="G4" s="13"/>
    </row>
    <row r="5" spans="1:11" x14ac:dyDescent="0.25">
      <c r="A5" s="31">
        <v>4</v>
      </c>
      <c r="B5" s="62"/>
      <c r="C5" s="31"/>
      <c r="E5" s="40"/>
      <c r="F5" s="40"/>
      <c r="G5" s="14"/>
    </row>
    <row r="6" spans="1:11" x14ac:dyDescent="0.25">
      <c r="A6" s="31">
        <v>5</v>
      </c>
      <c r="B6" s="63"/>
      <c r="C6" s="31"/>
      <c r="E6" s="40"/>
      <c r="F6" s="40"/>
      <c r="G6" s="14"/>
    </row>
    <row r="7" spans="1:11" x14ac:dyDescent="0.25">
      <c r="A7" s="31">
        <v>6</v>
      </c>
      <c r="B7" s="64"/>
      <c r="C7" s="31"/>
      <c r="D7" s="6"/>
      <c r="E7" s="40"/>
      <c r="F7" s="40"/>
      <c r="G7" s="14"/>
    </row>
    <row r="8" spans="1:11" x14ac:dyDescent="0.25">
      <c r="A8" s="15"/>
      <c r="B8" s="28"/>
      <c r="C8" s="41"/>
      <c r="D8" s="7"/>
      <c r="E8" s="42"/>
      <c r="F8" s="42"/>
      <c r="G8" s="45"/>
    </row>
    <row r="9" spans="1:11" s="1" customFormat="1" ht="30" customHeight="1" x14ac:dyDescent="0.25">
      <c r="A9" s="39"/>
      <c r="B9" s="33" t="s">
        <v>271</v>
      </c>
      <c r="C9" s="35" t="s">
        <v>262</v>
      </c>
      <c r="D9" s="35" t="s">
        <v>263</v>
      </c>
      <c r="E9" s="36" t="s">
        <v>365</v>
      </c>
      <c r="F9" s="36" t="s">
        <v>366</v>
      </c>
      <c r="G9" s="36" t="s">
        <v>264</v>
      </c>
      <c r="H9" s="58"/>
      <c r="I9" s="58"/>
      <c r="J9" s="58"/>
      <c r="K9" s="58"/>
    </row>
    <row r="10" spans="1:11" s="1" customFormat="1" ht="99.95" customHeight="1" x14ac:dyDescent="0.25">
      <c r="A10" s="90" t="s">
        <v>490</v>
      </c>
      <c r="B10" s="74" t="s">
        <v>370</v>
      </c>
      <c r="C10" s="94" t="s">
        <v>322</v>
      </c>
      <c r="D10" s="70" t="s">
        <v>71</v>
      </c>
      <c r="E10" s="68"/>
      <c r="F10" s="68">
        <v>577500</v>
      </c>
      <c r="G10" s="104" t="s">
        <v>635</v>
      </c>
      <c r="H10" s="89"/>
      <c r="I10" s="89"/>
      <c r="J10" s="58"/>
      <c r="K10" s="58"/>
    </row>
    <row r="11" spans="1:11" s="1" customFormat="1" ht="99.95" customHeight="1" x14ac:dyDescent="0.25">
      <c r="A11" s="90" t="s">
        <v>490</v>
      </c>
      <c r="B11" s="74" t="s">
        <v>311</v>
      </c>
      <c r="C11" s="91" t="s">
        <v>312</v>
      </c>
      <c r="D11" s="70" t="s">
        <v>72</v>
      </c>
      <c r="E11" s="65"/>
      <c r="F11" s="65">
        <v>367500</v>
      </c>
      <c r="G11" s="104" t="s">
        <v>635</v>
      </c>
      <c r="H11" s="89"/>
      <c r="I11" s="89"/>
      <c r="J11" s="58"/>
      <c r="K11" s="58"/>
    </row>
    <row r="12" spans="1:11" s="1" customFormat="1" ht="99.95" customHeight="1" x14ac:dyDescent="0.25">
      <c r="A12" s="90" t="s">
        <v>490</v>
      </c>
      <c r="B12" s="74" t="s">
        <v>311</v>
      </c>
      <c r="C12" s="91" t="s">
        <v>62</v>
      </c>
      <c r="D12" s="70" t="s">
        <v>63</v>
      </c>
      <c r="E12" s="65"/>
      <c r="F12" s="65">
        <v>1941000</v>
      </c>
      <c r="G12" s="104" t="s">
        <v>635</v>
      </c>
      <c r="H12" s="89"/>
      <c r="I12" s="89"/>
      <c r="J12" s="58"/>
      <c r="K12" s="58"/>
    </row>
    <row r="13" spans="1:11" ht="99.95" customHeight="1" x14ac:dyDescent="0.25">
      <c r="A13" s="90" t="s">
        <v>490</v>
      </c>
      <c r="B13" s="74" t="s">
        <v>463</v>
      </c>
      <c r="C13" s="94" t="s">
        <v>371</v>
      </c>
      <c r="D13" s="70" t="s">
        <v>64</v>
      </c>
      <c r="E13" s="68"/>
      <c r="F13" s="68">
        <v>7105180</v>
      </c>
      <c r="G13" s="104" t="s">
        <v>635</v>
      </c>
      <c r="H13" s="59"/>
      <c r="I13" s="59"/>
      <c r="J13" s="59"/>
      <c r="K13" s="59"/>
    </row>
    <row r="14" spans="1:11" s="1" customFormat="1" ht="99.95" customHeight="1" x14ac:dyDescent="0.25">
      <c r="A14" s="90" t="s">
        <v>490</v>
      </c>
      <c r="B14" s="74" t="s">
        <v>463</v>
      </c>
      <c r="C14" s="235" t="s">
        <v>60</v>
      </c>
      <c r="D14" s="66" t="s">
        <v>633</v>
      </c>
      <c r="E14" s="68"/>
      <c r="F14" s="68">
        <v>1330000</v>
      </c>
      <c r="G14" s="104" t="s">
        <v>635</v>
      </c>
      <c r="H14" s="58"/>
      <c r="I14" s="58"/>
      <c r="J14" s="58"/>
      <c r="K14" s="58"/>
    </row>
    <row r="15" spans="1:11" ht="99.95" customHeight="1" x14ac:dyDescent="0.25">
      <c r="A15" s="90" t="s">
        <v>490</v>
      </c>
      <c r="B15" s="74" t="s">
        <v>372</v>
      </c>
      <c r="C15" s="235" t="s">
        <v>632</v>
      </c>
      <c r="D15" s="66" t="s">
        <v>358</v>
      </c>
      <c r="E15" s="68"/>
      <c r="F15" s="68">
        <v>17567154</v>
      </c>
      <c r="G15" s="104" t="s">
        <v>635</v>
      </c>
      <c r="H15" s="59"/>
      <c r="I15" s="59"/>
      <c r="J15" s="59"/>
      <c r="K15" s="59"/>
    </row>
    <row r="16" spans="1:11" ht="99.95" customHeight="1" x14ac:dyDescent="0.25">
      <c r="A16" s="90" t="s">
        <v>490</v>
      </c>
      <c r="B16" s="74" t="s">
        <v>372</v>
      </c>
      <c r="C16" s="302" t="s">
        <v>359</v>
      </c>
      <c r="D16" s="66" t="s">
        <v>360</v>
      </c>
      <c r="E16" s="68"/>
      <c r="F16" s="68">
        <v>12776940</v>
      </c>
      <c r="G16" s="104"/>
      <c r="H16" s="59"/>
      <c r="I16" s="59"/>
      <c r="J16" s="59"/>
      <c r="K16" s="59"/>
    </row>
    <row r="17" spans="1:14" ht="99.95" customHeight="1" x14ac:dyDescent="0.25">
      <c r="A17" s="90" t="s">
        <v>490</v>
      </c>
      <c r="B17" s="74" t="s">
        <v>372</v>
      </c>
      <c r="C17" s="234" t="s">
        <v>514</v>
      </c>
      <c r="D17" s="92" t="s">
        <v>95</v>
      </c>
      <c r="E17" s="69"/>
      <c r="F17" s="69">
        <v>8952768</v>
      </c>
      <c r="G17" s="104"/>
      <c r="H17" s="59"/>
      <c r="I17" s="59"/>
      <c r="J17" s="59"/>
      <c r="K17" s="59"/>
    </row>
    <row r="18" spans="1:14" ht="99.95" customHeight="1" x14ac:dyDescent="0.25">
      <c r="A18" s="90" t="s">
        <v>492</v>
      </c>
      <c r="B18" s="74" t="s">
        <v>321</v>
      </c>
      <c r="C18" s="234" t="s">
        <v>572</v>
      </c>
      <c r="D18" s="66" t="s">
        <v>573</v>
      </c>
      <c r="E18" s="69">
        <v>61004.47</v>
      </c>
      <c r="F18" s="69"/>
      <c r="G18" s="104" t="s">
        <v>635</v>
      </c>
      <c r="H18" s="59"/>
      <c r="I18" s="59"/>
      <c r="J18" s="59"/>
      <c r="K18" s="59"/>
    </row>
    <row r="19" spans="1:14" ht="99.95" customHeight="1" x14ac:dyDescent="0.25">
      <c r="A19" s="90" t="s">
        <v>492</v>
      </c>
      <c r="B19" s="74" t="s">
        <v>666</v>
      </c>
      <c r="C19" s="234" t="s">
        <v>667</v>
      </c>
      <c r="D19" s="66"/>
      <c r="E19" s="69">
        <v>8327.9699999999993</v>
      </c>
      <c r="F19" s="69"/>
      <c r="G19" s="104" t="s">
        <v>635</v>
      </c>
      <c r="H19" s="59"/>
      <c r="I19" s="59"/>
      <c r="J19" s="59"/>
      <c r="K19" s="59"/>
    </row>
    <row r="20" spans="1:14" s="1" customFormat="1" ht="99.95" customHeight="1" x14ac:dyDescent="0.25">
      <c r="A20" s="90" t="s">
        <v>492</v>
      </c>
      <c r="B20" s="74" t="s">
        <v>516</v>
      </c>
      <c r="C20" s="235" t="s">
        <v>517</v>
      </c>
      <c r="D20" s="66" t="s">
        <v>522</v>
      </c>
      <c r="E20" s="68">
        <v>84693.66</v>
      </c>
      <c r="F20" s="68"/>
      <c r="G20" s="104" t="s">
        <v>635</v>
      </c>
      <c r="H20" s="58"/>
      <c r="I20" s="58"/>
      <c r="J20" s="58"/>
      <c r="K20" s="58"/>
    </row>
    <row r="21" spans="1:14" s="1" customFormat="1" ht="99.95" customHeight="1" x14ac:dyDescent="0.25">
      <c r="A21" s="90" t="s">
        <v>492</v>
      </c>
      <c r="B21" s="74" t="s">
        <v>96</v>
      </c>
      <c r="C21" s="235" t="s">
        <v>97</v>
      </c>
      <c r="D21" s="66"/>
      <c r="E21" s="68">
        <v>12115.5</v>
      </c>
      <c r="F21" s="68"/>
      <c r="G21" s="104"/>
      <c r="H21" s="58"/>
      <c r="I21" s="58"/>
      <c r="J21" s="58"/>
      <c r="K21" s="58"/>
    </row>
    <row r="22" spans="1:14" s="1" customFormat="1" ht="99.95" customHeight="1" x14ac:dyDescent="0.25">
      <c r="A22" s="90" t="s">
        <v>492</v>
      </c>
      <c r="B22" s="189" t="s">
        <v>518</v>
      </c>
      <c r="C22" s="66" t="s">
        <v>520</v>
      </c>
      <c r="D22" s="125" t="s">
        <v>521</v>
      </c>
      <c r="E22" s="71">
        <v>831306.93</v>
      </c>
      <c r="F22" s="71"/>
      <c r="G22" s="104" t="s">
        <v>635</v>
      </c>
      <c r="H22" s="58"/>
      <c r="I22" s="58"/>
      <c r="J22" s="58"/>
      <c r="K22" s="58"/>
    </row>
    <row r="23" spans="1:14" s="1" customFormat="1" ht="99.95" customHeight="1" x14ac:dyDescent="0.25">
      <c r="A23" s="90" t="s">
        <v>490</v>
      </c>
      <c r="B23" s="74" t="s">
        <v>494</v>
      </c>
      <c r="C23" s="235" t="s">
        <v>93</v>
      </c>
      <c r="D23" s="66" t="s">
        <v>119</v>
      </c>
      <c r="E23" s="68"/>
      <c r="F23" s="68">
        <v>2975000</v>
      </c>
      <c r="G23" s="104" t="s">
        <v>635</v>
      </c>
      <c r="H23" s="58"/>
      <c r="I23" s="58"/>
      <c r="J23" s="58"/>
      <c r="K23" s="58"/>
    </row>
    <row r="24" spans="1:14" s="1" customFormat="1" ht="99.95" customHeight="1" x14ac:dyDescent="0.25">
      <c r="A24" s="90" t="s">
        <v>490</v>
      </c>
      <c r="B24" s="74" t="s">
        <v>494</v>
      </c>
      <c r="C24" s="235" t="s">
        <v>380</v>
      </c>
      <c r="D24" s="66"/>
      <c r="E24" s="68"/>
      <c r="F24" s="68">
        <v>2625000</v>
      </c>
      <c r="G24" s="104" t="s">
        <v>635</v>
      </c>
      <c r="H24" s="58"/>
      <c r="I24" s="58"/>
      <c r="J24" s="58"/>
      <c r="K24" s="58"/>
    </row>
    <row r="25" spans="1:14" s="1" customFormat="1" ht="99.95" customHeight="1" x14ac:dyDescent="0.25">
      <c r="A25" s="90" t="s">
        <v>490</v>
      </c>
      <c r="B25" s="74" t="s">
        <v>494</v>
      </c>
      <c r="C25" s="235" t="s">
        <v>94</v>
      </c>
      <c r="D25" s="66"/>
      <c r="E25" s="68"/>
      <c r="F25" s="68">
        <v>630000</v>
      </c>
      <c r="G25" s="104"/>
      <c r="H25" s="58"/>
      <c r="I25" s="58"/>
      <c r="J25" s="58"/>
      <c r="K25" s="58"/>
    </row>
    <row r="26" spans="1:14" s="115" customFormat="1" ht="99.95" customHeight="1" x14ac:dyDescent="0.2">
      <c r="A26" s="90" t="s">
        <v>490</v>
      </c>
      <c r="B26" s="74" t="s">
        <v>637</v>
      </c>
      <c r="C26" s="92" t="s">
        <v>638</v>
      </c>
      <c r="D26" s="66" t="s">
        <v>665</v>
      </c>
      <c r="E26" s="69"/>
      <c r="F26" s="69">
        <v>200000</v>
      </c>
      <c r="G26" s="104" t="s">
        <v>635</v>
      </c>
      <c r="I26" s="95"/>
      <c r="J26" s="95"/>
      <c r="K26" s="95"/>
    </row>
    <row r="27" spans="1:14" s="115" customFormat="1" ht="99.95" customHeight="1" x14ac:dyDescent="0.2">
      <c r="A27" s="90" t="s">
        <v>490</v>
      </c>
      <c r="B27" s="74" t="s">
        <v>636</v>
      </c>
      <c r="C27" s="124" t="s">
        <v>639</v>
      </c>
      <c r="D27" s="66" t="s">
        <v>665</v>
      </c>
      <c r="E27" s="69"/>
      <c r="F27" s="69">
        <v>678566</v>
      </c>
      <c r="G27" s="104" t="s">
        <v>635</v>
      </c>
      <c r="H27" s="95"/>
      <c r="I27" s="95"/>
      <c r="J27" s="95"/>
      <c r="K27" s="95"/>
    </row>
    <row r="28" spans="1:14" ht="99.95" customHeight="1" x14ac:dyDescent="0.25">
      <c r="A28" s="90" t="s">
        <v>490</v>
      </c>
      <c r="B28" s="74" t="s">
        <v>309</v>
      </c>
      <c r="C28" s="92" t="s">
        <v>33</v>
      </c>
      <c r="D28" s="264" t="s">
        <v>398</v>
      </c>
      <c r="E28" s="69"/>
      <c r="F28" s="69">
        <v>8292499.6100000003</v>
      </c>
      <c r="G28" s="104" t="s">
        <v>635</v>
      </c>
      <c r="H28" s="95"/>
      <c r="I28" s="95"/>
      <c r="J28" s="59"/>
      <c r="K28" s="59"/>
      <c r="N28" s="2"/>
    </row>
    <row r="29" spans="1:14" ht="99.95" customHeight="1" x14ac:dyDescent="0.25">
      <c r="A29" s="90" t="s">
        <v>490</v>
      </c>
      <c r="B29" s="74" t="s">
        <v>309</v>
      </c>
      <c r="C29" s="124" t="s">
        <v>515</v>
      </c>
      <c r="D29" s="263" t="s">
        <v>330</v>
      </c>
      <c r="E29" s="69"/>
      <c r="F29" s="69">
        <v>19061511.199999999</v>
      </c>
      <c r="G29" s="104"/>
      <c r="H29" s="95"/>
      <c r="I29" s="95"/>
      <c r="J29" s="59"/>
      <c r="K29" s="59"/>
      <c r="N29" s="2"/>
    </row>
    <row r="30" spans="1:14" ht="99.95" customHeight="1" x14ac:dyDescent="0.25">
      <c r="A30" s="90" t="s">
        <v>490</v>
      </c>
      <c r="B30" s="74" t="s">
        <v>309</v>
      </c>
      <c r="C30" s="124" t="s">
        <v>98</v>
      </c>
      <c r="D30" s="264"/>
      <c r="E30" s="69"/>
      <c r="F30" s="69">
        <v>2734585.22</v>
      </c>
      <c r="G30" s="104"/>
      <c r="H30" s="95"/>
      <c r="I30" s="95"/>
      <c r="J30" s="59"/>
      <c r="K30" s="59"/>
      <c r="N30" s="2"/>
    </row>
    <row r="31" spans="1:14" ht="99.95" customHeight="1" x14ac:dyDescent="0.25">
      <c r="A31" s="90" t="s">
        <v>619</v>
      </c>
      <c r="B31" s="74" t="s">
        <v>309</v>
      </c>
      <c r="C31" s="124" t="s">
        <v>620</v>
      </c>
      <c r="D31" s="263" t="s">
        <v>99</v>
      </c>
      <c r="E31" s="69">
        <v>504250.49</v>
      </c>
      <c r="F31" s="69"/>
      <c r="G31" s="104" t="s">
        <v>635</v>
      </c>
      <c r="H31" s="95"/>
      <c r="I31" s="95"/>
      <c r="J31" s="59"/>
      <c r="K31" s="59"/>
      <c r="N31" s="2"/>
    </row>
    <row r="32" spans="1:14" s="115" customFormat="1" ht="99.95" customHeight="1" x14ac:dyDescent="0.2">
      <c r="A32" s="93"/>
      <c r="B32" s="96" t="s">
        <v>313</v>
      </c>
      <c r="C32" s="236"/>
      <c r="D32" s="73"/>
      <c r="E32" s="97">
        <f>SUM(E10:E31)</f>
        <v>1501699.02</v>
      </c>
      <c r="F32" s="97">
        <f>SUM(F10:F31)</f>
        <v>87815204.030000001</v>
      </c>
      <c r="G32" s="104"/>
      <c r="H32" s="95"/>
      <c r="I32" s="95"/>
      <c r="J32" s="95"/>
      <c r="K32" s="95"/>
    </row>
  </sheetData>
  <phoneticPr fontId="0" type="noConversion"/>
  <pageMargins left="0.7" right="0.7" top="0.75" bottom="0.75" header="0.3" footer="0.3"/>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JOBS IN THE PIPELINE</vt:lpstr>
      <vt:lpstr>QUOTES</vt:lpstr>
      <vt:lpstr>APPOINTMENTS</vt:lpstr>
      <vt:lpstr>DEBT COLLECTION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Konschel Chiwendu</dc:creator>
  <cp:lastModifiedBy>Nizaam</cp:lastModifiedBy>
  <cp:lastPrinted>2013-04-15T10:15:37Z</cp:lastPrinted>
  <dcterms:created xsi:type="dcterms:W3CDTF">2011-06-21T08:30:11Z</dcterms:created>
  <dcterms:modified xsi:type="dcterms:W3CDTF">2013-06-04T10:31:53Z</dcterms:modified>
</cp:coreProperties>
</file>